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run\OneDrive\Desktop\"/>
    </mc:Choice>
  </mc:AlternateContent>
  <xr:revisionPtr revIDLastSave="0" documentId="8_{210E5D7B-7D3E-4BA9-A4A8-75DC1EA713A7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Cover" sheetId="1" r:id="rId1"/>
    <sheet name="Historical Data" sheetId="2" r:id="rId2"/>
    <sheet name="Income Statement" sheetId="3" r:id="rId3"/>
    <sheet name="Balance Sheet" sheetId="4" r:id="rId4"/>
    <sheet name="Cash Flow Statement" sheetId="5" r:id="rId5"/>
    <sheet name="Forecast Assumptions" sheetId="6" r:id="rId6"/>
    <sheet name="3 Statement Model" sheetId="7" r:id="rId7"/>
    <sheet name="DCF Valuation" sheetId="8" r:id="rId8"/>
    <sheet name="Sensitivity" sheetId="9" r:id="rId9"/>
    <sheet name="Checks" sheetId="10" r:id="rId10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C7" i="10"/>
  <c r="B7" i="10"/>
  <c r="C5" i="10"/>
  <c r="B5" i="10"/>
  <c r="B28" i="8"/>
  <c r="B26" i="8"/>
  <c r="F14" i="8"/>
  <c r="E14" i="8"/>
  <c r="D14" i="8"/>
  <c r="C14" i="8"/>
  <c r="B14" i="8"/>
  <c r="K18" i="7"/>
  <c r="J18" i="7"/>
  <c r="I18" i="7"/>
  <c r="H18" i="7"/>
  <c r="G18" i="7"/>
  <c r="F18" i="7"/>
  <c r="E18" i="7"/>
  <c r="D18" i="7"/>
  <c r="C18" i="7"/>
  <c r="B18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9" i="7"/>
  <c r="J9" i="7"/>
  <c r="I9" i="7"/>
  <c r="H9" i="7"/>
  <c r="G9" i="7"/>
  <c r="F9" i="7"/>
  <c r="E9" i="7"/>
  <c r="D9" i="7"/>
  <c r="C9" i="7"/>
  <c r="B9" i="7"/>
  <c r="K6" i="7"/>
  <c r="J6" i="7"/>
  <c r="I6" i="7"/>
  <c r="H6" i="7"/>
  <c r="G6" i="7"/>
  <c r="F6" i="7"/>
  <c r="E6" i="7"/>
  <c r="D6" i="7"/>
  <c r="C6" i="7"/>
  <c r="B6" i="7"/>
  <c r="B15" i="6"/>
  <c r="B24" i="8" s="1"/>
  <c r="B9" i="6"/>
  <c r="B8" i="6"/>
  <c r="B7" i="6"/>
  <c r="B6" i="6"/>
  <c r="L6" i="3" s="1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K20" i="4"/>
  <c r="K13" i="7" s="1"/>
  <c r="J20" i="4"/>
  <c r="J13" i="7" s="1"/>
  <c r="I20" i="4"/>
  <c r="I13" i="7" s="1"/>
  <c r="H20" i="4"/>
  <c r="H13" i="7" s="1"/>
  <c r="G20" i="4"/>
  <c r="G13" i="7" s="1"/>
  <c r="F20" i="4"/>
  <c r="F13" i="7" s="1"/>
  <c r="E20" i="4"/>
  <c r="E13" i="7" s="1"/>
  <c r="D20" i="4"/>
  <c r="D13" i="7" s="1"/>
  <c r="C20" i="4"/>
  <c r="C13" i="7" s="1"/>
  <c r="B20" i="4"/>
  <c r="B13" i="7" s="1"/>
  <c r="L14" i="4"/>
  <c r="M14" i="4" s="1"/>
  <c r="N14" i="4" s="1"/>
  <c r="O14" i="4" s="1"/>
  <c r="P14" i="4" s="1"/>
  <c r="L13" i="4"/>
  <c r="M13" i="4" s="1"/>
  <c r="N13" i="4" s="1"/>
  <c r="O13" i="4" s="1"/>
  <c r="P13" i="4" s="1"/>
  <c r="L9" i="4"/>
  <c r="M9" i="4" s="1"/>
  <c r="N9" i="4" s="1"/>
  <c r="O9" i="4" s="1"/>
  <c r="P9" i="4" s="1"/>
  <c r="L8" i="4"/>
  <c r="M8" i="4" s="1"/>
  <c r="N8" i="4" s="1"/>
  <c r="O8" i="4" s="1"/>
  <c r="P8" i="4" s="1"/>
  <c r="L6" i="4"/>
  <c r="M6" i="4" s="1"/>
  <c r="N6" i="4" s="1"/>
  <c r="O6" i="4" s="1"/>
  <c r="K31" i="3"/>
  <c r="J31" i="3"/>
  <c r="I31" i="3"/>
  <c r="H31" i="3"/>
  <c r="G31" i="3"/>
  <c r="F31" i="3"/>
  <c r="E31" i="3"/>
  <c r="D31" i="3"/>
  <c r="C31" i="3"/>
  <c r="B31" i="3"/>
  <c r="K30" i="3"/>
  <c r="J30" i="3"/>
  <c r="I30" i="3"/>
  <c r="H30" i="3"/>
  <c r="G30" i="3"/>
  <c r="F30" i="3"/>
  <c r="E30" i="3"/>
  <c r="D30" i="3"/>
  <c r="C30" i="3"/>
  <c r="B30" i="3"/>
  <c r="K28" i="3"/>
  <c r="J28" i="3"/>
  <c r="I28" i="3"/>
  <c r="H28" i="3"/>
  <c r="G28" i="3"/>
  <c r="F28" i="3"/>
  <c r="E28" i="3"/>
  <c r="D28" i="3"/>
  <c r="C28" i="3"/>
  <c r="B28" i="3"/>
  <c r="K16" i="3"/>
  <c r="K18" i="3" s="1"/>
  <c r="J16" i="3"/>
  <c r="J18" i="3" s="1"/>
  <c r="J7" i="7" s="1"/>
  <c r="I16" i="3"/>
  <c r="I18" i="3" s="1"/>
  <c r="H16" i="3"/>
  <c r="H18" i="3" s="1"/>
  <c r="G16" i="3"/>
  <c r="G18" i="3" s="1"/>
  <c r="F16" i="3"/>
  <c r="F18" i="3" s="1"/>
  <c r="F7" i="7" s="1"/>
  <c r="E16" i="3"/>
  <c r="E18" i="3" s="1"/>
  <c r="D16" i="3"/>
  <c r="D18" i="3" s="1"/>
  <c r="C16" i="3"/>
  <c r="C18" i="3" s="1"/>
  <c r="B16" i="3"/>
  <c r="B18" i="3" s="1"/>
  <c r="B7" i="7" s="1"/>
  <c r="K7" i="3"/>
  <c r="J7" i="3"/>
  <c r="I7" i="3"/>
  <c r="H7" i="3"/>
  <c r="G7" i="3"/>
  <c r="F7" i="3"/>
  <c r="E7" i="3"/>
  <c r="D7" i="3"/>
  <c r="C7" i="3"/>
  <c r="C8" i="5" l="1"/>
  <c r="G8" i="5"/>
  <c r="K8" i="5"/>
  <c r="D8" i="5"/>
  <c r="H8" i="5"/>
  <c r="B8" i="5"/>
  <c r="F8" i="5"/>
  <c r="J8" i="5"/>
  <c r="L6" i="7"/>
  <c r="L20" i="3"/>
  <c r="L7" i="5" s="1"/>
  <c r="L7" i="3"/>
  <c r="D5" i="10"/>
  <c r="F5" i="10" s="1"/>
  <c r="E19" i="3"/>
  <c r="E7" i="7"/>
  <c r="E21" i="3"/>
  <c r="I7" i="7"/>
  <c r="I21" i="3"/>
  <c r="I19" i="3"/>
  <c r="G7" i="7"/>
  <c r="G21" i="3"/>
  <c r="G19" i="3"/>
  <c r="H21" i="3"/>
  <c r="H19" i="3"/>
  <c r="D21" i="3"/>
  <c r="D19" i="3"/>
  <c r="B19" i="3"/>
  <c r="J19" i="3"/>
  <c r="F21" i="3"/>
  <c r="H7" i="7"/>
  <c r="F7" i="10"/>
  <c r="D7" i="10"/>
  <c r="C7" i="7"/>
  <c r="C21" i="3"/>
  <c r="C19" i="3"/>
  <c r="P6" i="4"/>
  <c r="B5" i="8"/>
  <c r="L21" i="3"/>
  <c r="L16" i="3" s="1"/>
  <c r="L8" i="5"/>
  <c r="B11" i="8" s="1"/>
  <c r="L19" i="4"/>
  <c r="K7" i="7"/>
  <c r="K21" i="3"/>
  <c r="K19" i="3"/>
  <c r="L18" i="4"/>
  <c r="M6" i="3"/>
  <c r="F19" i="3"/>
  <c r="B21" i="3"/>
  <c r="J21" i="3"/>
  <c r="E8" i="5"/>
  <c r="I8" i="5"/>
  <c r="L12" i="5"/>
  <c r="D7" i="7"/>
  <c r="F8" i="10"/>
  <c r="D8" i="10"/>
  <c r="B9" i="8" l="1"/>
  <c r="L12" i="4"/>
  <c r="M8" i="5"/>
  <c r="C11" i="8" s="1"/>
  <c r="M6" i="7"/>
  <c r="C5" i="8"/>
  <c r="M21" i="3"/>
  <c r="M20" i="3"/>
  <c r="M7" i="3"/>
  <c r="M12" i="5"/>
  <c r="M16" i="3"/>
  <c r="N6" i="3"/>
  <c r="B8" i="7"/>
  <c r="B22" i="3"/>
  <c r="E22" i="3"/>
  <c r="E8" i="7"/>
  <c r="L16" i="7"/>
  <c r="B10" i="8"/>
  <c r="J8" i="7"/>
  <c r="J22" i="3"/>
  <c r="M19" i="4"/>
  <c r="K8" i="7"/>
  <c r="K22" i="3"/>
  <c r="L8" i="7"/>
  <c r="L26" i="3"/>
  <c r="L22" i="3"/>
  <c r="B6" i="8"/>
  <c r="L18" i="3"/>
  <c r="C8" i="7"/>
  <c r="C22" i="3"/>
  <c r="H8" i="7"/>
  <c r="H22" i="3"/>
  <c r="G8" i="7"/>
  <c r="G22" i="3"/>
  <c r="M18" i="4"/>
  <c r="F8" i="7"/>
  <c r="F22" i="3"/>
  <c r="D8" i="7"/>
  <c r="D22" i="3"/>
  <c r="I22" i="3"/>
  <c r="I8" i="7"/>
  <c r="M12" i="4" l="1"/>
  <c r="N18" i="4"/>
  <c r="N19" i="4"/>
  <c r="L27" i="3"/>
  <c r="L29" i="3" s="1"/>
  <c r="C10" i="8"/>
  <c r="M16" i="7"/>
  <c r="M22" i="3"/>
  <c r="C6" i="8"/>
  <c r="M8" i="7"/>
  <c r="M18" i="3"/>
  <c r="M26" i="3"/>
  <c r="L19" i="3"/>
  <c r="L7" i="7"/>
  <c r="N6" i="7"/>
  <c r="D5" i="8"/>
  <c r="N12" i="5"/>
  <c r="N20" i="3"/>
  <c r="N12" i="4" s="1"/>
  <c r="N8" i="5"/>
  <c r="D11" i="8" s="1"/>
  <c r="N7" i="3"/>
  <c r="N21" i="3"/>
  <c r="O6" i="3"/>
  <c r="C9" i="8"/>
  <c r="M7" i="5"/>
  <c r="O18" i="4" l="1"/>
  <c r="D6" i="8"/>
  <c r="N18" i="3"/>
  <c r="N26" i="3"/>
  <c r="N8" i="7"/>
  <c r="N22" i="3"/>
  <c r="L30" i="3"/>
  <c r="L9" i="7"/>
  <c r="L31" i="3"/>
  <c r="L6" i="5"/>
  <c r="L10" i="5" s="1"/>
  <c r="L7" i="4"/>
  <c r="M19" i="3"/>
  <c r="M7" i="7"/>
  <c r="E5" i="8"/>
  <c r="O12" i="5"/>
  <c r="O20" i="3"/>
  <c r="O12" i="4" s="1"/>
  <c r="O21" i="3"/>
  <c r="O16" i="3" s="1"/>
  <c r="O7" i="3"/>
  <c r="P6" i="3"/>
  <c r="O6" i="7"/>
  <c r="O8" i="5"/>
  <c r="E11" i="8" s="1"/>
  <c r="D10" i="8"/>
  <c r="N16" i="7"/>
  <c r="M27" i="3"/>
  <c r="M29" i="3" s="1"/>
  <c r="N16" i="3"/>
  <c r="D9" i="8"/>
  <c r="N7" i="5"/>
  <c r="L28" i="3"/>
  <c r="B7" i="8"/>
  <c r="B8" i="8" s="1"/>
  <c r="B12" i="8" s="1"/>
  <c r="B15" i="8" s="1"/>
  <c r="O19" i="4"/>
  <c r="P19" i="4" l="1"/>
  <c r="M9" i="7"/>
  <c r="M31" i="3"/>
  <c r="M6" i="5"/>
  <c r="M10" i="5" s="1"/>
  <c r="M30" i="3"/>
  <c r="N27" i="3"/>
  <c r="C7" i="8"/>
  <c r="C8" i="8" s="1"/>
  <c r="C12" i="8" s="1"/>
  <c r="C15" i="8" s="1"/>
  <c r="M28" i="3"/>
  <c r="E6" i="8"/>
  <c r="O18" i="3"/>
  <c r="O8" i="7"/>
  <c r="O26" i="3"/>
  <c r="O22" i="3"/>
  <c r="M7" i="4"/>
  <c r="L10" i="4"/>
  <c r="N7" i="7"/>
  <c r="N19" i="3"/>
  <c r="F5" i="8"/>
  <c r="P21" i="3"/>
  <c r="P16" i="3" s="1"/>
  <c r="P8" i="5"/>
  <c r="F11" i="8" s="1"/>
  <c r="P7" i="3"/>
  <c r="P6" i="7"/>
  <c r="P20" i="3"/>
  <c r="P12" i="4" s="1"/>
  <c r="P12" i="5"/>
  <c r="E9" i="8"/>
  <c r="O7" i="5"/>
  <c r="L15" i="7"/>
  <c r="L15" i="5"/>
  <c r="L18" i="7" s="1"/>
  <c r="E10" i="8"/>
  <c r="O16" i="7"/>
  <c r="P18" i="4"/>
  <c r="O27" i="3" l="1"/>
  <c r="L12" i="7"/>
  <c r="L15" i="4"/>
  <c r="L16" i="4" s="1"/>
  <c r="M15" i="7"/>
  <c r="M15" i="5"/>
  <c r="M18" i="7" s="1"/>
  <c r="P16" i="7"/>
  <c r="F10" i="8"/>
  <c r="M10" i="4"/>
  <c r="O7" i="7"/>
  <c r="O19" i="3"/>
  <c r="D7" i="8"/>
  <c r="D8" i="8" s="1"/>
  <c r="D12" i="8" s="1"/>
  <c r="D15" i="8" s="1"/>
  <c r="N28" i="3"/>
  <c r="P8" i="7"/>
  <c r="P26" i="3"/>
  <c r="P22" i="3"/>
  <c r="F6" i="8"/>
  <c r="P18" i="3"/>
  <c r="F9" i="8"/>
  <c r="P7" i="5"/>
  <c r="N29" i="3"/>
  <c r="N7" i="4" s="1"/>
  <c r="N10" i="4" l="1"/>
  <c r="P19" i="3"/>
  <c r="P7" i="7"/>
  <c r="M12" i="7"/>
  <c r="M15" i="4"/>
  <c r="M16" i="4" s="1"/>
  <c r="O28" i="3"/>
  <c r="E7" i="8"/>
  <c r="E8" i="8" s="1"/>
  <c r="E12" i="8" s="1"/>
  <c r="E15" i="8" s="1"/>
  <c r="O29" i="3"/>
  <c r="N9" i="7"/>
  <c r="N6" i="5"/>
  <c r="N10" i="5" s="1"/>
  <c r="N30" i="3"/>
  <c r="N31" i="3"/>
  <c r="P27" i="3"/>
  <c r="L11" i="7"/>
  <c r="L20" i="4"/>
  <c r="L13" i="7" s="1"/>
  <c r="P28" i="3" l="1"/>
  <c r="F7" i="8"/>
  <c r="F8" i="8" s="1"/>
  <c r="F12" i="8" s="1"/>
  <c r="O6" i="5"/>
  <c r="O10" i="5" s="1"/>
  <c r="O30" i="3"/>
  <c r="O9" i="7"/>
  <c r="O31" i="3"/>
  <c r="N12" i="7"/>
  <c r="N15" i="4"/>
  <c r="N16" i="4" s="1"/>
  <c r="M11" i="7"/>
  <c r="M20" i="4"/>
  <c r="M13" i="7" s="1"/>
  <c r="O7" i="4"/>
  <c r="P29" i="3"/>
  <c r="N15" i="7"/>
  <c r="N15" i="5"/>
  <c r="N18" i="7" s="1"/>
  <c r="P30" i="3" l="1"/>
  <c r="P9" i="7"/>
  <c r="P31" i="3"/>
  <c r="P6" i="5"/>
  <c r="P10" i="5" s="1"/>
  <c r="N11" i="7"/>
  <c r="N20" i="4"/>
  <c r="N13" i="7" s="1"/>
  <c r="P7" i="4"/>
  <c r="P10" i="4" s="1"/>
  <c r="O10" i="4"/>
  <c r="O15" i="7"/>
  <c r="O15" i="5"/>
  <c r="O18" i="7" s="1"/>
  <c r="B20" i="8"/>
  <c r="B21" i="8" s="1"/>
  <c r="B22" i="8" s="1"/>
  <c r="F15" i="8"/>
  <c r="B19" i="8" s="1"/>
  <c r="B23" i="8" l="1"/>
  <c r="B25" i="8" s="1"/>
  <c r="B27" i="8" s="1"/>
  <c r="B29" i="8" s="1"/>
  <c r="P15" i="7"/>
  <c r="P15" i="5"/>
  <c r="P18" i="7" s="1"/>
  <c r="P12" i="7"/>
  <c r="P15" i="4"/>
  <c r="P16" i="4" s="1"/>
  <c r="C6" i="10"/>
  <c r="O12" i="7"/>
  <c r="O15" i="4"/>
  <c r="O16" i="4" s="1"/>
  <c r="P11" i="7" l="1"/>
  <c r="P20" i="4"/>
  <c r="P13" i="7" s="1"/>
  <c r="B6" i="10"/>
  <c r="D6" i="10" s="1"/>
  <c r="F6" i="10" s="1"/>
  <c r="F9" i="10" s="1"/>
  <c r="O11" i="7"/>
  <c r="O20" i="4"/>
  <c r="O1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Screener export for Asian Paints.</t>
        </r>
      </text>
    </comment>
  </commentList>
</comments>
</file>

<file path=xl/sharedStrings.xml><?xml version="1.0" encoding="utf-8"?>
<sst xmlns="http://schemas.openxmlformats.org/spreadsheetml/2006/main" count="237" uniqueCount="158">
  <si>
    <t>Asian Paints - Fresh 3 Statement Model, DCF and Valuation</t>
  </si>
  <si>
    <t>Company</t>
  </si>
  <si>
    <t>Asian Paints Ltd</t>
  </si>
  <si>
    <t>Source</t>
  </si>
  <si>
    <t>AsianPaints.xlsx Screener export</t>
  </si>
  <si>
    <t>Units</t>
  </si>
  <si>
    <t>INR Cr, except per-share data</t>
  </si>
  <si>
    <t>Method</t>
  </si>
  <si>
    <t>Fresh workbook generated by Python; TCS is style reference only</t>
  </si>
  <si>
    <t>Current Price</t>
  </si>
  <si>
    <t>Market Cap</t>
  </si>
  <si>
    <t>Shares Outstanding</t>
  </si>
  <si>
    <t>Workbook Flow</t>
  </si>
  <si>
    <t>Historical Data</t>
  </si>
  <si>
    <t>Income Statement</t>
  </si>
  <si>
    <t>Balance Sheet</t>
  </si>
  <si>
    <t>Cash Flow Statement</t>
  </si>
  <si>
    <t>Forecast Assumptions</t>
  </si>
  <si>
    <t>3 Statement Model</t>
  </si>
  <si>
    <t>DCF Valuation</t>
  </si>
  <si>
    <t>Sensitivity</t>
  </si>
  <si>
    <t>Checks</t>
  </si>
  <si>
    <t>Asian Paints - Historical Data</t>
  </si>
  <si>
    <t>Profit &amp; Loss</t>
  </si>
  <si>
    <t>INR Cr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</si>
  <si>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</si>
  <si>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</si>
  <si>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</si>
  <si>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</si>
  <si>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</si>
  <si>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</si>
  <si>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</si>
  <si>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</si>
  <si>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</si>
  <si>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</si>
  <si>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</si>
  <si>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PBT</t>
  </si>
  <si>
    <t>Tax</t>
  </si>
  <si>
    <t>Net Profit</t>
  </si>
  <si>
    <t>Dividend</t>
  </si>
  <si>
    <t>Equity Share Capital</t>
  </si>
  <si>
    <t>Reserves</t>
  </si>
  <si>
    <t>Borrowings</t>
  </si>
  <si>
    <t>Other Liabilities</t>
  </si>
  <si>
    <t>Total Liabilities</t>
  </si>
  <si>
    <t>Net Block</t>
  </si>
  <si>
    <t>CWIP</t>
  </si>
  <si>
    <t>Investments</t>
  </si>
  <si>
    <t>Other Assets</t>
  </si>
  <si>
    <t>Total Assets</t>
  </si>
  <si>
    <t>Receivables</t>
  </si>
  <si>
    <t>Inventory</t>
  </si>
  <si>
    <t>Cash Flow</t>
  </si>
  <si>
    <t>CFO</t>
  </si>
  <si>
    <t>CFI</t>
  </si>
  <si>
    <t>CFF</t>
  </si>
  <si>
    <t>Net Cash Flow</t>
  </si>
  <si>
    <t>Asian Paints - Income Statement</t>
  </si>
  <si>
    <t>FY1E</t>
  </si>
  <si>
    <t>FY2E</t>
  </si>
  <si>
    <t>FY3E</t>
  </si>
  <si>
    <t>FY4E</t>
  </si>
  <si>
    <t>FY5E</t>
  </si>
  <si>
    <t>Sales Growth</t>
  </si>
  <si>
    <t>Other Manufacturing Expense</t>
  </si>
  <si>
    <t>Total Operating Expenses</t>
  </si>
  <si>
    <t>EBITDA</t>
  </si>
  <si>
    <t>EBITDA Margin</t>
  </si>
  <si>
    <t>EBIT</t>
  </si>
  <si>
    <t>EBIT Margin</t>
  </si>
  <si>
    <t>Profit Before Tax</t>
  </si>
  <si>
    <t>Tax Rate</t>
  </si>
  <si>
    <t>Net Margin</t>
  </si>
  <si>
    <t>EPS</t>
  </si>
  <si>
    <t>Asian Paints - Balance Sheet</t>
  </si>
  <si>
    <t>Capital Work in Progress</t>
  </si>
  <si>
    <t>Balance Check</t>
  </si>
  <si>
    <t>Asian Paints - Cash Flow Statement</t>
  </si>
  <si>
    <t>Net Income</t>
  </si>
  <si>
    <t>Change in Working Capital</t>
  </si>
  <si>
    <t>Cash from Operating Activity</t>
  </si>
  <si>
    <t>Cash from Investing Activity</t>
  </si>
  <si>
    <t>Cash from Financing Activity</t>
  </si>
  <si>
    <t>Asian Paints - Forecast Assumptions</t>
  </si>
  <si>
    <t>Assumption</t>
  </si>
  <si>
    <t>Value</t>
  </si>
  <si>
    <t>Formula / Basis</t>
  </si>
  <si>
    <t>Type</t>
  </si>
  <si>
    <t>Forecast years</t>
  </si>
  <si>
    <t>Explicit forecast period</t>
  </si>
  <si>
    <t>Input</t>
  </si>
  <si>
    <t>Revenue growth</t>
  </si>
  <si>
    <t>3Y CAGR fallback</t>
  </si>
  <si>
    <t>EBIT margin</t>
  </si>
  <si>
    <t>Latest EBIT / Sales</t>
  </si>
  <si>
    <t>Cash tax rate</t>
  </si>
  <si>
    <t>Latest Tax / PBT</t>
  </si>
  <si>
    <t>D&amp;A % Sales</t>
  </si>
  <si>
    <t>Latest depreciation / Sales</t>
  </si>
  <si>
    <t>Capex % Sales</t>
  </si>
  <si>
    <t>Editable estimate</t>
  </si>
  <si>
    <t>NWC % Incremental Sales</t>
  </si>
  <si>
    <t>WACC</t>
  </si>
  <si>
    <t>Editable DCF discount rate</t>
  </si>
  <si>
    <t>Terminal growth</t>
  </si>
  <si>
    <t>Editable Gordon growth assumption</t>
  </si>
  <si>
    <t>Exit EV/EBITDA</t>
  </si>
  <si>
    <t>Alternative valuation check</t>
  </si>
  <si>
    <t>Net debt / (cash)</t>
  </si>
  <si>
    <t>Latest borrowings from source</t>
  </si>
  <si>
    <t>Linked</t>
  </si>
  <si>
    <t>Current share price</t>
  </si>
  <si>
    <t>Screener export current price</t>
  </si>
  <si>
    <t>Shares outstanding</t>
  </si>
  <si>
    <t>Market cap / price</t>
  </si>
  <si>
    <t>Asian Paints - 3 Statement Model Summary</t>
  </si>
  <si>
    <t>Revenue</t>
  </si>
  <si>
    <t>Asian Paints - DCF Valuation</t>
  </si>
  <si>
    <t>Cash Taxes</t>
  </si>
  <si>
    <t>NOPAT</t>
  </si>
  <si>
    <t>D&amp;A</t>
  </si>
  <si>
    <t>Capex</t>
  </si>
  <si>
    <t>Change in NWC</t>
  </si>
  <si>
    <t>Unlevered FCF</t>
  </si>
  <si>
    <t>Discount Period</t>
  </si>
  <si>
    <t>Discount Factor</t>
  </si>
  <si>
    <t>PV of FCF</t>
  </si>
  <si>
    <t>Valuation Bridge</t>
  </si>
  <si>
    <t>Terminal FCF</t>
  </si>
  <si>
    <t>Terminal Value</t>
  </si>
  <si>
    <t>PV of Terminal Value</t>
  </si>
  <si>
    <t>Enterprise Value</t>
  </si>
  <si>
    <t>Less: Net Debt / (Cash)</t>
  </si>
  <si>
    <t>Equity Value</t>
  </si>
  <si>
    <t>Implied Value / Share</t>
  </si>
  <si>
    <t>Current Share Price</t>
  </si>
  <si>
    <t>Upside / Downside</t>
  </si>
  <si>
    <t>Asian Paints - DCF Sensitivity</t>
  </si>
  <si>
    <t>Implied Value / Share Sensitivity</t>
  </si>
  <si>
    <t>WACC / Terminal Growth</t>
  </si>
  <si>
    <t>Asian Paints - Model Checks</t>
  </si>
  <si>
    <t>Check</t>
  </si>
  <si>
    <t>Actual</t>
  </si>
  <si>
    <t>Expected</t>
  </si>
  <si>
    <t>Difference</t>
  </si>
  <si>
    <t>Tolerance</t>
  </si>
  <si>
    <t>Status</t>
  </si>
  <si>
    <t>Notes</t>
  </si>
  <si>
    <t>Latest balance sheet balances</t>
  </si>
  <si>
    <t>Historical total assets should equal total liabilities.</t>
  </si>
  <si>
    <t>Forecast balance sheet balances</t>
  </si>
  <si>
    <t>Forecast other assets are used as balancing item.</t>
  </si>
  <si>
    <t>WACC exceeds terminal growth</t>
  </si>
  <si>
    <t>DCF terminal value requires WACC &gt; terminal growth.</t>
  </si>
  <si>
    <t>Shares positive</t>
  </si>
  <si>
    <t>Needed for per-share valuation.</t>
  </si>
  <si>
    <t>Overall model status</t>
  </si>
  <si>
    <t>All checks should read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</si>
</sst>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(#,##0\);\-"/>
    <numFmt numFmtId="165" formatCode="#,##0.0"/>
    <numFmt numFmtId="166" formatCode="0&quot;A&quot;"/>
    <numFmt numFmtId="169" formatCode="&quot;₹&quot;\ #,##0.0;&quot;₹&quot;\ \(#,##0.0\);\-"/>
    <numFmt numFmtId="170" formatCode="0.0%;[Red]\(0.0%\);\-"/>
    <numFmt numFmtId="171" formatCode="&quot;INR &quot;#,##0.00;[Red]\(&quot;INR &quot;#,##0.00\);\-"/>
    <numFmt numFmtId="172" formatCode="0.0\x;[Red]\(0.0\x\);\-"/>
    <numFmt numFmtId="173" formatCode="0.0"/>
  </numFmts>
  <fonts count="9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</font>
    <font>
      <b/>
      <i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8000"/>
      <name val="Calibri"/>
    </font>
    <font>
      <sz val="11"/>
      <color rgb="FF0000FF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4" fillId="2" borderId="0" xfId="0" applyNumberFormat="1" applyFont="1" applyFill="1"/>
    <xf numFmtId="0" fontId="5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164" fontId="6" fillId="0" borderId="0" xfId="0" applyNumberFormat="1" applyFont="1"/>
    <xf numFmtId="170" fontId="0" fillId="0" borderId="0" xfId="0" applyNumberForma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170" fontId="6" fillId="0" borderId="0" xfId="0" applyNumberFormat="1" applyFont="1"/>
    <xf numFmtId="169" fontId="2" fillId="0" borderId="1" xfId="0" applyNumberFormat="1" applyFont="1" applyBorder="1" applyAlignment="1">
      <alignment horizontal="right"/>
    </xf>
    <xf numFmtId="171" fontId="6" fillId="0" borderId="0" xfId="0" applyNumberFormat="1" applyFont="1"/>
    <xf numFmtId="171" fontId="0" fillId="0" borderId="0" xfId="0" applyNumberFormat="1"/>
    <xf numFmtId="0" fontId="7" fillId="4" borderId="0" xfId="0" applyFont="1" applyFill="1"/>
    <xf numFmtId="170" fontId="7" fillId="4" borderId="0" xfId="0" applyNumberFormat="1" applyFont="1" applyFill="1"/>
    <xf numFmtId="172" fontId="7" fillId="4" borderId="0" xfId="0" applyNumberFormat="1" applyFont="1" applyFill="1"/>
    <xf numFmtId="0" fontId="2" fillId="0" borderId="1" xfId="0" applyFont="1" applyBorder="1"/>
    <xf numFmtId="173" fontId="0" fillId="0" borderId="0" xfId="0" applyNumberFormat="1"/>
    <xf numFmtId="171" fontId="2" fillId="0" borderId="1" xfId="0" applyNumberFormat="1" applyFont="1" applyBorder="1"/>
    <xf numFmtId="170" fontId="2" fillId="0" borderId="1" xfId="0" applyNumberFormat="1" applyFont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17" fontId="4" fillId="2" borderId="0" xfId="0" applyNumberFormat="1" applyFont="1" applyFill="1"/>
    <xf numFmtId="171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Forecast Revenue and FCF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'DCF Valuation'!$B$4:$F$4</c:f>
              <c:strCache>
                <c:ptCount val="5"/>
                <c:pt idx="0">
                  <c:v>FY1E</c:v>
                </c:pt>
                <c:pt idx="1">
                  <c:v>FY2E</c:v>
                </c:pt>
                <c:pt idx="2">
                  <c:v>FY3E</c:v>
                </c:pt>
                <c:pt idx="3">
                  <c:v>FY4E</c:v>
                </c:pt>
                <c:pt idx="4">
                  <c:v>FY5E</c:v>
                </c:pt>
              </c:strCache>
            </c:strRef>
          </c:cat>
          <c:val>
            <c:numRef>
              <c:f>'DCF Valuation'!$B$5:$F$5</c:f>
              <c:numCache>
                <c:formatCode>#,##0;[Red]\(#,##0\);\-</c:formatCode>
                <c:ptCount val="5"/>
                <c:pt idx="0">
                  <c:v>35956.194578979506</c:v>
                </c:pt>
                <c:pt idx="1">
                  <c:v>36332.751845416031</c:v>
                </c:pt>
                <c:pt idx="2">
                  <c:v>36713.25267085724</c:v>
                </c:pt>
                <c:pt idx="3">
                  <c:v>37097.738354884925</c:v>
                </c:pt>
                <c:pt idx="4">
                  <c:v>37486.250629597656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78-40D5-8D96-909FCA6975C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'DCF Valuation'!$B$4:$F$4</c:f>
              <c:strCache>
                <c:ptCount val="5"/>
                <c:pt idx="0">
                  <c:v>FY1E</c:v>
                </c:pt>
                <c:pt idx="1">
                  <c:v>FY2E</c:v>
                </c:pt>
                <c:pt idx="2">
                  <c:v>FY3E</c:v>
                </c:pt>
                <c:pt idx="3">
                  <c:v>FY4E</c:v>
                </c:pt>
                <c:pt idx="4">
                  <c:v>FY5E</c:v>
                </c:pt>
              </c:strCache>
            </c:strRef>
          </c:cat>
          <c:val>
            <c:numRef>
              <c:f>'DCF Valuation'!$B$12:$F$12</c:f>
              <c:numCache>
                <c:formatCode>#,##0;[Red]\(#,##0\);\-</c:formatCode>
                <c:ptCount val="5"/>
                <c:pt idx="0">
                  <c:v>-4517.7130565051493</c:v>
                </c:pt>
                <c:pt idx="1">
                  <c:v>-4565.0255627094821</c:v>
                </c:pt>
                <c:pt idx="2">
                  <c:v>-4612.8335570546824</c:v>
                </c:pt>
                <c:pt idx="3">
                  <c:v>-4661.1422286232419</c:v>
                </c:pt>
                <c:pt idx="4">
                  <c:v>-4709.9568208411947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78-40D5-8D96-909FCA697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 Cr</a:t>
                </a:r>
              </a:p>
            </c:rich>
          </c:tx>
          <c:overlay val="1"/>
        </c:title>
        <c:numFmt formatCode="#,##0;[Red]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"/>
  <sheetViews>
    <sheetView showGridLines="0" workbookViewId="0"/>
  </sheetViews>
  <sheetFormatPr defaultRowHeight="14.4"/>
  <cols>
    <col min="2" max="2" width="28" customWidth="1"/>
    <col min="3" max="3" width="55" customWidth="1"/>
  </cols>
  <sheetData>
    <row r="2" spans="2:9" ht="18">
      <c r="B2" s="25" t="s">
        <v>0</v>
      </c>
      <c r="C2" s="24"/>
      <c r="D2" s="24"/>
      <c r="E2" s="24"/>
      <c r="F2" s="24"/>
      <c r="G2" s="24"/>
      <c r="H2" s="24"/>
      <c r="I2" s="24"/>
    </row>
    <row r="5" spans="2:9">
      <c r="B5" s="1" t="s">
        <v>1</v>
      </c>
      <c r="C5" t="s">
        <v>2</v>
      </c>
    </row>
    <row r="6" spans="2:9">
      <c r="B6" s="1" t="s">
        <v>3</v>
      </c>
      <c r="C6" t="s">
        <v>4</v>
      </c>
    </row>
    <row r="7" spans="2:9">
      <c r="B7" s="1" t="s">
        <v>5</v>
      </c>
      <c r="C7" t="s">
        <v>6</v>
      </c>
    </row>
    <row r="8" spans="2:9">
      <c r="B8" s="1" t="s">
        <v>7</v>
      </c>
      <c r="C8" t="s">
        <v>8</v>
      </c>
    </row>
    <row r="9" spans="2:9">
      <c r="B9" s="1" t="s">
        <v>9</v>
      </c>
      <c r="C9" s="2">
        <v>2684.3</v>
      </c>
    </row>
    <row r="10" spans="2:9">
      <c r="B10" s="1" t="s">
        <v>10</v>
      </c>
      <c r="C10" s="2">
        <v>257477.41</v>
      </c>
    </row>
    <row r="11" spans="2:9">
      <c r="B11" s="1" t="s">
        <v>11</v>
      </c>
      <c r="C11" s="3">
        <v>95.919759341355288</v>
      </c>
    </row>
    <row r="14" spans="2:9" ht="18">
      <c r="B14" s="23" t="s">
        <v>12</v>
      </c>
      <c r="C14" s="24"/>
      <c r="D14" s="24"/>
      <c r="E14" s="24"/>
      <c r="F14" s="24"/>
      <c r="G14" s="24"/>
      <c r="H14" s="24"/>
      <c r="I14" s="24"/>
    </row>
    <row r="15" spans="2:9">
      <c r="B15" t="s">
        <v>13</v>
      </c>
    </row>
    <row r="16" spans="2:9">
      <c r="B16" t="s">
        <v>14</v>
      </c>
    </row>
    <row r="17" spans="2:2">
      <c r="B17" t="s">
        <v>15</v>
      </c>
    </row>
    <row r="18" spans="2:2">
      <c r="B18" t="s">
        <v>16</v>
      </c>
    </row>
    <row r="19" spans="2:2">
      <c r="B19" t="s">
        <v>17</v>
      </c>
    </row>
    <row r="20" spans="2:2">
      <c r="B20" t="s">
        <v>18</v>
      </c>
    </row>
    <row r="21" spans="2:2">
      <c r="B21" t="s">
        <v>19</v>
      </c>
    </row>
    <row r="22" spans="2:2">
      <c r="B22" t="s">
        <v>20</v>
      </c>
    </row>
    <row r="23" spans="2:2">
      <c r="B23" t="s">
        <v>21</v>
      </c>
    </row>
  </sheetData>
  <mergeCells count="2">
    <mergeCell ref="B14:I14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4"/>
  <sheetViews>
    <sheetView showGridLines="0" workbookViewId="0">
      <pane xSplit="3" ySplit="5" topLeftCell="D16" activePane="bottomRight" state="frozen"/>
      <selection pane="topRight"/>
      <selection pane="bottomLeft"/>
      <selection pane="bottomRight" activeCell="C1" sqref="C1:C1048576"/>
    </sheetView>
  </sheetViews>
  <sheetFormatPr defaultRowHeight="14.4"/>
  <cols>
    <col min="1" max="1" width="1.88671875" customWidth="1"/>
    <col min="2" max="2" width="40.44140625" customWidth="1"/>
    <col min="3" max="12" width="13" customWidth="1"/>
  </cols>
  <sheetData>
    <row r="1" spans="2:12"/>
    <row r="2" spans="2:12" ht="18">
      <c r="B2" s="25" t="s">
        <v>22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2:12" ht="18">
      <c r="B4" s="23" t="s">
        <v>23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>
      <c r="B5" s="4" t="s">
        <v>24</v>
      </c>
      <c r="C5" s="26">
        <v>42825</v>
      </c>
      <c r="D5" s="26">
        <v>43190</v>
      </c>
      <c r="E5" s="26">
        <v>43555</v>
      </c>
      <c r="F5" s="26">
        <v>43921</v>
      </c>
      <c r="G5" s="26">
        <v>44286</v>
      </c>
      <c r="H5" s="26">
        <v>44651</v>
      </c>
      <c r="I5" s="26">
        <v>45016</v>
      </c>
      <c r="J5" s="26">
        <v>45382</v>
      </c>
      <c r="K5" s="26">
        <v>45747</v>
      </c>
      <c r="L5" s="26">
        <v>46112</v>
      </c>
    </row>
    <row r="6" spans="2:12">
      <c r="B6" s="5" t="s">
        <v>25</v>
      </c>
      <c r="C6" s="6">
        <v>15061.99</v>
      </c>
      <c r="D6" s="6">
        <v>16824.55</v>
      </c>
      <c r="E6" s="6">
        <v>19240.13</v>
      </c>
      <c r="F6" s="6">
        <v>20211.25</v>
      </c>
      <c r="G6" s="6">
        <v>21712.79</v>
      </c>
      <c r="H6" s="6">
        <v>29101.279999999999</v>
      </c>
      <c r="I6" s="6">
        <v>34488.589999999997</v>
      </c>
      <c r="J6" s="6">
        <v>35494.730000000003</v>
      </c>
      <c r="K6" s="6">
        <v>33905.620000000003</v>
      </c>
      <c r="L6" s="6">
        <v>35583.54</v>
      </c>
    </row>
    <row r="7" spans="2:12">
      <c r="B7" s="5" t="s">
        <v>26</v>
      </c>
      <c r="C7" s="6">
        <v>7452.6</v>
      </c>
      <c r="D7" s="6">
        <v>8128.17</v>
      </c>
      <c r="E7" s="6">
        <v>9974.4</v>
      </c>
      <c r="F7" s="6">
        <v>9981.99</v>
      </c>
      <c r="G7" s="6">
        <v>10425.549999999999</v>
      </c>
      <c r="H7" s="6">
        <v>17123.25</v>
      </c>
      <c r="I7" s="6">
        <v>18985.53</v>
      </c>
      <c r="J7" s="6">
        <v>17410.84</v>
      </c>
      <c r="K7" s="6">
        <v>17504.509999999998</v>
      </c>
      <c r="L7" s="6">
        <v>17142.009999999998</v>
      </c>
    </row>
    <row r="8" spans="2:12">
      <c r="B8" s="5" t="s">
        <v>27</v>
      </c>
      <c r="C8" s="6">
        <v>528.6</v>
      </c>
      <c r="D8" s="6">
        <v>-142.13</v>
      </c>
      <c r="E8" s="6">
        <v>293.26</v>
      </c>
      <c r="F8" s="6">
        <v>239.15</v>
      </c>
      <c r="G8" s="6">
        <v>92.45</v>
      </c>
      <c r="H8" s="6">
        <v>1324.97</v>
      </c>
      <c r="I8" s="6">
        <v>309.73</v>
      </c>
      <c r="J8" s="6">
        <v>-363.8</v>
      </c>
      <c r="K8" s="6">
        <v>205</v>
      </c>
      <c r="L8" s="6">
        <v>-603.67999999999995</v>
      </c>
    </row>
    <row r="9" spans="2:12">
      <c r="B9" s="5" t="s">
        <v>28</v>
      </c>
      <c r="C9" s="6">
        <v>106.02</v>
      </c>
      <c r="D9" s="6">
        <v>110.3</v>
      </c>
      <c r="E9" s="6">
        <v>119.63</v>
      </c>
      <c r="F9" s="6">
        <v>97.79</v>
      </c>
      <c r="G9" s="6">
        <v>86.05</v>
      </c>
      <c r="H9" s="6">
        <v>117.23</v>
      </c>
      <c r="I9" s="6">
        <v>138.29</v>
      </c>
      <c r="J9" s="6">
        <v>133.25</v>
      </c>
      <c r="K9" s="6">
        <v>148.58000000000001</v>
      </c>
      <c r="L9" s="6">
        <v>167.1</v>
      </c>
    </row>
    <row r="10" spans="2:12">
      <c r="B10" s="5" t="s">
        <v>29</v>
      </c>
      <c r="C10" s="6">
        <v>1662.75</v>
      </c>
      <c r="D10" s="6">
        <v>1691.68</v>
      </c>
      <c r="E10" s="6">
        <v>1862.35</v>
      </c>
      <c r="F10" s="6">
        <v>1946.12</v>
      </c>
      <c r="G10" s="6">
        <v>2068.31</v>
      </c>
      <c r="H10" s="6">
        <v>2880.45</v>
      </c>
      <c r="I10" s="6">
        <v>2916.2</v>
      </c>
      <c r="J10" s="6">
        <v>2767.18</v>
      </c>
      <c r="K10" s="6">
        <v>2687.4</v>
      </c>
      <c r="L10" s="6">
        <v>2767.11</v>
      </c>
    </row>
    <row r="11" spans="2:12">
      <c r="B11" s="5" t="s">
        <v>30</v>
      </c>
      <c r="C11" s="6">
        <v>1039.8900000000001</v>
      </c>
      <c r="D11" s="6">
        <v>1121.8900000000001</v>
      </c>
      <c r="E11" s="6">
        <v>1242.69</v>
      </c>
      <c r="F11" s="6">
        <v>1371.27</v>
      </c>
      <c r="G11" s="6">
        <v>1547.61</v>
      </c>
      <c r="H11" s="6">
        <v>1794.61</v>
      </c>
      <c r="I11" s="6">
        <v>2036.41</v>
      </c>
      <c r="J11" s="6">
        <v>2334.92</v>
      </c>
      <c r="K11" s="6">
        <v>2605.7800000000002</v>
      </c>
      <c r="L11" s="6">
        <v>2809.73</v>
      </c>
    </row>
    <row r="12" spans="2:12">
      <c r="B12" s="5" t="s">
        <v>31</v>
      </c>
      <c r="C12" s="6">
        <v>4364.04</v>
      </c>
      <c r="D12" s="6">
        <v>2254.92</v>
      </c>
      <c r="E12" s="6">
        <v>2366.87</v>
      </c>
      <c r="F12" s="6">
        <v>2311.5100000000002</v>
      </c>
      <c r="G12" s="6">
        <v>2245.69</v>
      </c>
      <c r="H12" s="6">
        <v>2941.98</v>
      </c>
      <c r="I12" s="6">
        <v>3500.84</v>
      </c>
      <c r="J12" s="6">
        <v>3811.86</v>
      </c>
      <c r="K12" s="6">
        <v>3874.94</v>
      </c>
      <c r="L12" s="6">
        <v>4112.07</v>
      </c>
    </row>
    <row r="13" spans="2:12">
      <c r="B13" s="5" t="s">
        <v>32</v>
      </c>
      <c r="C13" s="6">
        <v>-2028.47</v>
      </c>
      <c r="D13" s="6">
        <v>171.45</v>
      </c>
      <c r="E13" s="6">
        <v>202.51</v>
      </c>
      <c r="F13" s="6">
        <v>579.95000000000005</v>
      </c>
      <c r="G13" s="6">
        <v>576.42999999999995</v>
      </c>
      <c r="H13" s="6">
        <v>765.12</v>
      </c>
      <c r="I13" s="6">
        <v>961.21</v>
      </c>
      <c r="J13" s="6">
        <v>1087.9000000000001</v>
      </c>
      <c r="K13" s="6">
        <v>1283.2</v>
      </c>
      <c r="L13" s="6">
        <v>1282.1099999999999</v>
      </c>
    </row>
    <row r="14" spans="2:12">
      <c r="B14" s="5" t="s">
        <v>33</v>
      </c>
      <c r="C14" s="6">
        <v>337.9</v>
      </c>
      <c r="D14" s="6">
        <v>336.41</v>
      </c>
      <c r="E14" s="6">
        <v>273.77</v>
      </c>
      <c r="F14" s="6">
        <v>350.1</v>
      </c>
      <c r="G14" s="6">
        <v>331.65</v>
      </c>
      <c r="H14" s="6">
        <v>295.88</v>
      </c>
      <c r="I14" s="6">
        <v>431.46</v>
      </c>
      <c r="J14" s="6">
        <v>820.96</v>
      </c>
      <c r="K14" s="6">
        <v>350.22</v>
      </c>
      <c r="L14" s="6">
        <v>727.97</v>
      </c>
    </row>
    <row r="15" spans="2:12">
      <c r="B15" s="5" t="s">
        <v>34</v>
      </c>
      <c r="C15" s="6">
        <v>334.79</v>
      </c>
      <c r="D15" s="6">
        <v>360.47</v>
      </c>
      <c r="E15" s="6">
        <v>622.14</v>
      </c>
      <c r="F15" s="6">
        <v>780.5</v>
      </c>
      <c r="G15" s="6">
        <v>791.27</v>
      </c>
      <c r="H15" s="6">
        <v>816.36</v>
      </c>
      <c r="I15" s="6">
        <v>858.02</v>
      </c>
      <c r="J15" s="6">
        <v>853</v>
      </c>
      <c r="K15" s="6">
        <v>1026.3399999999999</v>
      </c>
      <c r="L15" s="6">
        <v>1228.8499999999999</v>
      </c>
    </row>
    <row r="16" spans="2:12">
      <c r="B16" s="5" t="s">
        <v>35</v>
      </c>
      <c r="C16" s="6">
        <v>37.33</v>
      </c>
      <c r="D16" s="6">
        <v>41.47</v>
      </c>
      <c r="E16" s="6">
        <v>110.47</v>
      </c>
      <c r="F16" s="6">
        <v>102.33</v>
      </c>
      <c r="G16" s="6">
        <v>91.63</v>
      </c>
      <c r="H16" s="6">
        <v>95.41</v>
      </c>
      <c r="I16" s="6">
        <v>144.44999999999999</v>
      </c>
      <c r="J16" s="6">
        <v>205.17</v>
      </c>
      <c r="K16" s="6">
        <v>227.02</v>
      </c>
      <c r="L16" s="6">
        <v>195.41</v>
      </c>
    </row>
    <row r="17" spans="2:12">
      <c r="B17" s="5" t="s">
        <v>36</v>
      </c>
      <c r="C17" s="6">
        <v>2959.54</v>
      </c>
      <c r="D17" s="6">
        <v>3138.48</v>
      </c>
      <c r="E17" s="6">
        <v>3306.1</v>
      </c>
      <c r="F17" s="6">
        <v>3629.04</v>
      </c>
      <c r="G17" s="6">
        <v>4304.3500000000004</v>
      </c>
      <c r="H17" s="6">
        <v>4187.72</v>
      </c>
      <c r="I17" s="6">
        <v>5688.83</v>
      </c>
      <c r="J17" s="6">
        <v>7347.77</v>
      </c>
      <c r="K17" s="6">
        <v>5103.07</v>
      </c>
      <c r="L17" s="6">
        <v>6003.44</v>
      </c>
    </row>
    <row r="18" spans="2:12">
      <c r="B18" s="5" t="s">
        <v>37</v>
      </c>
      <c r="C18" s="6">
        <v>943.29</v>
      </c>
      <c r="D18" s="6">
        <v>1040.96</v>
      </c>
      <c r="E18" s="6">
        <v>1098.06</v>
      </c>
      <c r="F18" s="6">
        <v>854.85</v>
      </c>
      <c r="G18" s="6">
        <v>1097.5999999999999</v>
      </c>
      <c r="H18" s="6">
        <v>1102.9100000000001</v>
      </c>
      <c r="I18" s="6">
        <v>1493.5</v>
      </c>
      <c r="J18" s="6">
        <v>1790.08</v>
      </c>
      <c r="K18" s="6">
        <v>1393.36</v>
      </c>
      <c r="L18" s="6">
        <v>1608.75</v>
      </c>
    </row>
    <row r="19" spans="2:12">
      <c r="B19" s="5" t="s">
        <v>38</v>
      </c>
      <c r="C19" s="6">
        <v>1939.43</v>
      </c>
      <c r="D19" s="6">
        <v>2038.93</v>
      </c>
      <c r="E19" s="6">
        <v>2155.92</v>
      </c>
      <c r="F19" s="6">
        <v>2705.17</v>
      </c>
      <c r="G19" s="6">
        <v>3139.29</v>
      </c>
      <c r="H19" s="6">
        <v>3030.57</v>
      </c>
      <c r="I19" s="6">
        <v>4106.45</v>
      </c>
      <c r="J19" s="6">
        <v>5460.23</v>
      </c>
      <c r="K19" s="6">
        <v>3667.23</v>
      </c>
      <c r="L19" s="6">
        <v>4325.3500000000004</v>
      </c>
    </row>
    <row r="20" spans="2:12">
      <c r="B20" s="5" t="s">
        <v>39</v>
      </c>
      <c r="C20" s="6">
        <v>987.98</v>
      </c>
      <c r="D20" s="6">
        <v>834.5</v>
      </c>
      <c r="E20" s="6">
        <v>1007.16</v>
      </c>
      <c r="F20" s="6">
        <v>1151.04</v>
      </c>
      <c r="G20" s="6">
        <v>1712.17</v>
      </c>
      <c r="H20" s="6">
        <v>1836.87</v>
      </c>
      <c r="I20" s="6">
        <v>2460.35</v>
      </c>
      <c r="J20" s="6">
        <v>3194.14</v>
      </c>
      <c r="K20" s="6">
        <v>2378.8200000000002</v>
      </c>
      <c r="L20" s="6">
        <v>2637.8</v>
      </c>
    </row>
    <row r="23" spans="2:12" ht="18">
      <c r="B23" s="23" t="s">
        <v>15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>
      <c r="B24" s="4" t="s">
        <v>24</v>
      </c>
      <c r="C24" s="26">
        <v>42825</v>
      </c>
      <c r="D24" s="26">
        <v>43190</v>
      </c>
      <c r="E24" s="26">
        <v>43555</v>
      </c>
      <c r="F24" s="26">
        <v>43921</v>
      </c>
      <c r="G24" s="26">
        <v>44286</v>
      </c>
      <c r="H24" s="26">
        <v>44651</v>
      </c>
      <c r="I24" s="26">
        <v>45016</v>
      </c>
      <c r="J24" s="26">
        <v>45382</v>
      </c>
      <c r="K24" s="26">
        <v>45747</v>
      </c>
      <c r="L24" s="26">
        <v>46112</v>
      </c>
    </row>
    <row r="25" spans="2:12">
      <c r="B25" s="5" t="s">
        <v>40</v>
      </c>
      <c r="C25" s="6">
        <v>95.92</v>
      </c>
      <c r="D25" s="6">
        <v>95.92</v>
      </c>
      <c r="E25" s="6">
        <v>95.92</v>
      </c>
      <c r="F25" s="6">
        <v>95.92</v>
      </c>
      <c r="G25" s="6">
        <v>95.92</v>
      </c>
      <c r="H25" s="6">
        <v>95.92</v>
      </c>
      <c r="I25" s="6">
        <v>95.92</v>
      </c>
      <c r="J25" s="6">
        <v>95.92</v>
      </c>
      <c r="K25" s="6">
        <v>95.92</v>
      </c>
      <c r="L25" s="6">
        <v>95.92</v>
      </c>
    </row>
    <row r="26" spans="2:12">
      <c r="B26" s="5" t="s">
        <v>41</v>
      </c>
      <c r="C26" s="6">
        <v>7507.97</v>
      </c>
      <c r="D26" s="6">
        <v>8314.31</v>
      </c>
      <c r="E26" s="6">
        <v>9374.6299999999992</v>
      </c>
      <c r="F26" s="6">
        <v>10034.24</v>
      </c>
      <c r="G26" s="6">
        <v>12710.37</v>
      </c>
      <c r="H26" s="6">
        <v>13715.64</v>
      </c>
      <c r="I26" s="6">
        <v>15896.31</v>
      </c>
      <c r="J26" s="6">
        <v>18632.38</v>
      </c>
      <c r="K26" s="6">
        <v>19303.89</v>
      </c>
      <c r="L26" s="6">
        <v>21275.67</v>
      </c>
    </row>
    <row r="27" spans="2:12">
      <c r="B27" s="5" t="s">
        <v>42</v>
      </c>
      <c r="C27" s="6">
        <v>560.34</v>
      </c>
      <c r="D27" s="6">
        <v>533.42999999999995</v>
      </c>
      <c r="E27" s="6">
        <v>1319.6</v>
      </c>
      <c r="F27" s="6">
        <v>1118.5</v>
      </c>
      <c r="G27" s="6">
        <v>1093.1199999999999</v>
      </c>
      <c r="H27" s="6">
        <v>1586.88</v>
      </c>
      <c r="I27" s="6">
        <v>1932.62</v>
      </c>
      <c r="J27" s="6">
        <v>2474.38</v>
      </c>
      <c r="K27" s="6">
        <v>2290.29</v>
      </c>
      <c r="L27" s="6">
        <v>3928.93</v>
      </c>
    </row>
    <row r="28" spans="2:12">
      <c r="B28" s="5" t="s">
        <v>43</v>
      </c>
      <c r="C28" s="6">
        <v>4240.96</v>
      </c>
      <c r="D28" s="6">
        <v>4819.82</v>
      </c>
      <c r="E28" s="6">
        <v>5458.69</v>
      </c>
      <c r="F28" s="6">
        <v>4889.3100000000004</v>
      </c>
      <c r="G28" s="6">
        <v>6455.93</v>
      </c>
      <c r="H28" s="6">
        <v>7559.99</v>
      </c>
      <c r="I28" s="6">
        <v>7854.48</v>
      </c>
      <c r="J28" s="6">
        <v>8698.09</v>
      </c>
      <c r="K28" s="6">
        <v>8665.15</v>
      </c>
      <c r="L28" s="6">
        <v>9218.23</v>
      </c>
    </row>
    <row r="29" spans="2:12">
      <c r="B29" s="5" t="s">
        <v>44</v>
      </c>
      <c r="C29" s="6">
        <v>12405.19</v>
      </c>
      <c r="D29" s="6">
        <v>13763.48</v>
      </c>
      <c r="E29" s="6">
        <v>16248.84</v>
      </c>
      <c r="F29" s="6">
        <v>16137.97</v>
      </c>
      <c r="G29" s="6">
        <v>20355.34</v>
      </c>
      <c r="H29" s="6">
        <v>22958.43</v>
      </c>
      <c r="I29" s="6">
        <v>25779.33</v>
      </c>
      <c r="J29" s="6">
        <v>29900.77</v>
      </c>
      <c r="K29" s="6">
        <v>30355.25</v>
      </c>
      <c r="L29" s="6">
        <v>34518.75</v>
      </c>
    </row>
    <row r="30" spans="2:12">
      <c r="B30" s="5" t="s">
        <v>45</v>
      </c>
      <c r="C30" s="6">
        <v>3303.74</v>
      </c>
      <c r="D30" s="6">
        <v>3732.24</v>
      </c>
      <c r="E30" s="6">
        <v>6496.56</v>
      </c>
      <c r="F30" s="6">
        <v>6272.31</v>
      </c>
      <c r="G30" s="6">
        <v>5858.52</v>
      </c>
      <c r="H30" s="6">
        <v>5519.06</v>
      </c>
      <c r="I30" s="6">
        <v>5770.46</v>
      </c>
      <c r="J30" s="6">
        <v>7146.62</v>
      </c>
      <c r="K30" s="6">
        <v>9220.1</v>
      </c>
      <c r="L30" s="6">
        <v>9640.2800000000007</v>
      </c>
    </row>
    <row r="31" spans="2:12">
      <c r="B31" s="5" t="s">
        <v>46</v>
      </c>
      <c r="C31" s="6">
        <v>257.54000000000002</v>
      </c>
      <c r="D31" s="6">
        <v>1405.11</v>
      </c>
      <c r="E31" s="6">
        <v>209.67</v>
      </c>
      <c r="F31" s="6">
        <v>140.24</v>
      </c>
      <c r="G31" s="6">
        <v>182.98</v>
      </c>
      <c r="H31" s="6">
        <v>426.43</v>
      </c>
      <c r="I31" s="6">
        <v>1019.59</v>
      </c>
      <c r="J31" s="6">
        <v>2698.37</v>
      </c>
      <c r="K31" s="6">
        <v>1254.49</v>
      </c>
      <c r="L31" s="6">
        <v>1848.67</v>
      </c>
    </row>
    <row r="32" spans="2:12">
      <c r="B32" s="5" t="s">
        <v>47</v>
      </c>
      <c r="C32" s="6">
        <v>2651.99</v>
      </c>
      <c r="D32" s="6">
        <v>2140.6999999999998</v>
      </c>
      <c r="E32" s="6">
        <v>2568.58</v>
      </c>
      <c r="F32" s="6">
        <v>2018.85</v>
      </c>
      <c r="G32" s="6">
        <v>4736.8</v>
      </c>
      <c r="H32" s="6">
        <v>3247.53</v>
      </c>
      <c r="I32" s="6">
        <v>4261.71</v>
      </c>
      <c r="J32" s="6">
        <v>4587.92</v>
      </c>
      <c r="K32" s="6">
        <v>4724.75</v>
      </c>
      <c r="L32" s="6">
        <v>7061.74</v>
      </c>
    </row>
    <row r="33" spans="2:12">
      <c r="B33" s="5" t="s">
        <v>48</v>
      </c>
      <c r="C33" s="6">
        <v>6191.92</v>
      </c>
      <c r="D33" s="6">
        <v>6485.43</v>
      </c>
      <c r="E33" s="6">
        <v>6974.03</v>
      </c>
      <c r="F33" s="6">
        <v>7706.57</v>
      </c>
      <c r="G33" s="6">
        <v>9577.0400000000009</v>
      </c>
      <c r="H33" s="6">
        <v>13765.41</v>
      </c>
      <c r="I33" s="6">
        <v>14727.57</v>
      </c>
      <c r="J33" s="6">
        <v>15467.86</v>
      </c>
      <c r="K33" s="6">
        <v>15155.91</v>
      </c>
      <c r="L33" s="6">
        <v>15968.06</v>
      </c>
    </row>
    <row r="34" spans="2:12">
      <c r="B34" s="5" t="s">
        <v>49</v>
      </c>
      <c r="C34" s="6">
        <v>12405.19</v>
      </c>
      <c r="D34" s="6">
        <v>13763.48</v>
      </c>
      <c r="E34" s="6">
        <v>16248.84</v>
      </c>
      <c r="F34" s="6">
        <v>16137.97</v>
      </c>
      <c r="G34" s="6">
        <v>20355.34</v>
      </c>
      <c r="H34" s="6">
        <v>22958.43</v>
      </c>
      <c r="I34" s="6">
        <v>25779.33</v>
      </c>
      <c r="J34" s="6">
        <v>29900.77</v>
      </c>
      <c r="K34" s="6">
        <v>30355.25</v>
      </c>
      <c r="L34" s="6">
        <v>34518.75</v>
      </c>
    </row>
    <row r="35" spans="2:12">
      <c r="B35" s="5" t="s">
        <v>50</v>
      </c>
      <c r="C35" s="6">
        <v>1446.6</v>
      </c>
      <c r="D35" s="6">
        <v>1730.63</v>
      </c>
      <c r="E35" s="6">
        <v>1907.33</v>
      </c>
      <c r="F35" s="6">
        <v>1795.22</v>
      </c>
      <c r="G35" s="6">
        <v>2602.17</v>
      </c>
      <c r="H35" s="6">
        <v>3871.44</v>
      </c>
      <c r="I35" s="6">
        <v>4636.9399999999996</v>
      </c>
      <c r="J35" s="6">
        <v>4889.05</v>
      </c>
      <c r="K35" s="6">
        <v>4313.6499999999996</v>
      </c>
      <c r="L35" s="6">
        <v>4461.8</v>
      </c>
    </row>
    <row r="36" spans="2:12">
      <c r="B36" s="5" t="s">
        <v>51</v>
      </c>
      <c r="C36" s="6">
        <v>2626.94</v>
      </c>
      <c r="D36" s="6">
        <v>2658.31</v>
      </c>
      <c r="E36" s="6">
        <v>3149.86</v>
      </c>
      <c r="F36" s="6">
        <v>3389.81</v>
      </c>
      <c r="G36" s="6">
        <v>3798.6</v>
      </c>
      <c r="H36" s="6">
        <v>6152.98</v>
      </c>
      <c r="I36" s="6">
        <v>6210.64</v>
      </c>
      <c r="J36" s="6">
        <v>5923.41</v>
      </c>
      <c r="K36" s="6">
        <v>6719.27</v>
      </c>
      <c r="L36" s="6">
        <v>5743.69</v>
      </c>
    </row>
    <row r="39" spans="2:12" ht="18">
      <c r="B39" s="23" t="s">
        <v>52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2:12">
      <c r="B40" s="4" t="s">
        <v>24</v>
      </c>
      <c r="C40" s="26">
        <v>42825</v>
      </c>
      <c r="D40" s="26">
        <v>43190</v>
      </c>
      <c r="E40" s="26">
        <v>43555</v>
      </c>
      <c r="F40" s="26">
        <v>43921</v>
      </c>
      <c r="G40" s="26">
        <v>44286</v>
      </c>
      <c r="H40" s="26">
        <v>44651</v>
      </c>
      <c r="I40" s="26">
        <v>45016</v>
      </c>
      <c r="J40" s="26">
        <v>45382</v>
      </c>
      <c r="K40" s="26">
        <v>45747</v>
      </c>
      <c r="L40" s="26">
        <v>46112</v>
      </c>
    </row>
    <row r="41" spans="2:12">
      <c r="B41" s="5" t="s">
        <v>53</v>
      </c>
      <c r="C41" s="6">
        <v>1527.33</v>
      </c>
      <c r="D41" s="6">
        <v>2113.44</v>
      </c>
      <c r="E41" s="6">
        <v>2469.54</v>
      </c>
      <c r="F41" s="6">
        <v>3038.15</v>
      </c>
      <c r="G41" s="6">
        <v>3683.35</v>
      </c>
      <c r="H41" s="6">
        <v>986.49</v>
      </c>
      <c r="I41" s="6">
        <v>4193.43</v>
      </c>
      <c r="J41" s="6">
        <v>6103.6</v>
      </c>
      <c r="K41" s="6">
        <v>4423.96</v>
      </c>
      <c r="L41" s="6">
        <v>7088.18</v>
      </c>
    </row>
    <row r="42" spans="2:12">
      <c r="B42" s="5" t="s">
        <v>54</v>
      </c>
      <c r="C42" s="6">
        <v>-681.11</v>
      </c>
      <c r="D42" s="6">
        <v>-1556.14</v>
      </c>
      <c r="E42" s="6">
        <v>-917.79</v>
      </c>
      <c r="F42" s="6">
        <v>-517.91</v>
      </c>
      <c r="G42" s="6">
        <v>-540.54</v>
      </c>
      <c r="H42" s="6">
        <v>-316.75</v>
      </c>
      <c r="I42" s="6">
        <v>-1282.3399999999999</v>
      </c>
      <c r="J42" s="6">
        <v>-2548.48</v>
      </c>
      <c r="K42" s="6">
        <v>-940.91</v>
      </c>
      <c r="L42" s="6">
        <v>-1328.23</v>
      </c>
    </row>
    <row r="43" spans="2:12">
      <c r="B43" s="5" t="s">
        <v>55</v>
      </c>
      <c r="C43" s="6">
        <v>-756.43</v>
      </c>
      <c r="D43" s="6">
        <v>-1379.14</v>
      </c>
      <c r="E43" s="6">
        <v>-1117.46</v>
      </c>
      <c r="F43" s="6">
        <v>-2871.46</v>
      </c>
      <c r="G43" s="6">
        <v>-650.4</v>
      </c>
      <c r="H43" s="6">
        <v>-1807.61</v>
      </c>
      <c r="I43" s="6">
        <v>-2140.0500000000002</v>
      </c>
      <c r="J43" s="6">
        <v>-2982.5</v>
      </c>
      <c r="K43" s="6">
        <v>-3752.58</v>
      </c>
      <c r="L43" s="6">
        <v>-2376.5100000000002</v>
      </c>
    </row>
    <row r="44" spans="2:12">
      <c r="B44" s="5" t="s">
        <v>56</v>
      </c>
      <c r="C44" s="6">
        <v>89.79</v>
      </c>
      <c r="D44" s="6">
        <v>-821.84</v>
      </c>
      <c r="E44" s="6">
        <v>434.29</v>
      </c>
      <c r="F44" s="6">
        <v>-351.22</v>
      </c>
      <c r="G44" s="6">
        <v>2492.41</v>
      </c>
      <c r="H44" s="6">
        <v>-1137.8699999999999</v>
      </c>
      <c r="I44" s="6">
        <v>771.04</v>
      </c>
      <c r="J44" s="6">
        <v>572.62</v>
      </c>
      <c r="K44" s="6">
        <v>-269.52999999999997</v>
      </c>
      <c r="L44" s="6">
        <v>3383.44</v>
      </c>
    </row>
  </sheetData>
  <mergeCells count="4">
    <mergeCell ref="B2:L2"/>
    <mergeCell ref="B39:L39"/>
    <mergeCell ref="B23:L23"/>
    <mergeCell ref="B4:L4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31"/>
  <sheetViews>
    <sheetView showGridLines="0" workbookViewId="0">
      <pane xSplit="2" ySplit="5" topLeftCell="C8" activePane="bottomRight" state="frozen"/>
      <selection pane="topRight"/>
      <selection pane="bottomLeft"/>
      <selection pane="bottomRight" activeCell="C31" sqref="C31"/>
    </sheetView>
  </sheetViews>
  <sheetFormatPr defaultRowHeight="14.4"/>
  <cols>
    <col min="1" max="1" width="28" customWidth="1"/>
    <col min="2" max="16" width="12" customWidth="1"/>
  </cols>
  <sheetData>
    <row r="2" spans="1:16" ht="18">
      <c r="A2" s="25" t="s">
        <v>57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>
      <c r="A4" s="4" t="s">
        <v>24</v>
      </c>
      <c r="B4" s="26">
        <v>42825</v>
      </c>
      <c r="C4" s="26">
        <v>43190</v>
      </c>
      <c r="D4" s="26">
        <v>43555</v>
      </c>
      <c r="E4" s="26">
        <v>43921</v>
      </c>
      <c r="F4" s="26">
        <v>44286</v>
      </c>
      <c r="G4" s="26">
        <v>44651</v>
      </c>
      <c r="H4" s="26">
        <v>45016</v>
      </c>
      <c r="I4" s="26">
        <v>45382</v>
      </c>
      <c r="J4" s="26">
        <v>45747</v>
      </c>
      <c r="K4" s="26">
        <v>46112</v>
      </c>
      <c r="L4" s="26" t="s">
        <v>58</v>
      </c>
      <c r="M4" s="26" t="s">
        <v>59</v>
      </c>
      <c r="N4" s="26" t="s">
        <v>60</v>
      </c>
      <c r="O4" s="26" t="s">
        <v>61</v>
      </c>
      <c r="P4" s="26" t="s">
        <v>62</v>
      </c>
    </row>
    <row r="6" spans="1:16">
      <c r="A6" s="5" t="s">
        <v>25</v>
      </c>
      <c r="B6" s="6">
        <v>15061.99</v>
      </c>
      <c r="C6" s="6">
        <v>16824.55</v>
      </c>
      <c r="D6" s="6">
        <v>19240.13</v>
      </c>
      <c r="E6" s="6">
        <v>20211.25</v>
      </c>
      <c r="F6" s="6">
        <v>21712.79</v>
      </c>
      <c r="G6" s="6">
        <v>29101.279999999999</v>
      </c>
      <c r="H6" s="6">
        <v>34488.589999999997</v>
      </c>
      <c r="I6" s="6">
        <v>35494.730000000003</v>
      </c>
      <c r="J6" s="6">
        <v>33905.620000000003</v>
      </c>
      <c r="K6" s="6">
        <v>35583.54</v>
      </c>
      <c r="L6" s="7">
        <f>K6*(1+'Forecast Assumptions'!$B$6)</f>
        <v>35956.194578979506</v>
      </c>
      <c r="M6" s="7">
        <f>L6*(1+'Forecast Assumptions'!$B$6)</f>
        <v>36332.751845416031</v>
      </c>
      <c r="N6" s="7">
        <f>M6*(1+'Forecast Assumptions'!$B$6)</f>
        <v>36713.25267085724</v>
      </c>
      <c r="O6" s="7">
        <f>N6*(1+'Forecast Assumptions'!$B$6)</f>
        <v>37097.738354884925</v>
      </c>
      <c r="P6" s="7">
        <f>O6*(1+'Forecast Assumptions'!$B$6)</f>
        <v>37486.250629597656</v>
      </c>
    </row>
    <row r="7" spans="1:16">
      <c r="A7" s="5" t="s">
        <v>63</v>
      </c>
      <c r="B7" s="6"/>
      <c r="C7" s="6">
        <f t="shared" ref="C7:K7" si="0">IFERROR(C6/B6-1,0)</f>
        <v>0.11702039371955486</v>
      </c>
      <c r="D7" s="6">
        <f t="shared" si="0"/>
        <v>0.14357471670861943</v>
      </c>
      <c r="E7" s="6">
        <f t="shared" si="0"/>
        <v>5.0473671435691925E-2</v>
      </c>
      <c r="F7" s="6">
        <f t="shared" si="0"/>
        <v>7.4292287711052118E-2</v>
      </c>
      <c r="G7" s="6">
        <f t="shared" si="0"/>
        <v>0.34028284711453471</v>
      </c>
      <c r="H7" s="6">
        <f t="shared" si="0"/>
        <v>0.18512278497715551</v>
      </c>
      <c r="I7" s="6">
        <f t="shared" si="0"/>
        <v>2.9173126532572313E-2</v>
      </c>
      <c r="J7" s="6">
        <f t="shared" si="0"/>
        <v>-4.4770308155605121E-2</v>
      </c>
      <c r="K7" s="6">
        <f t="shared" si="0"/>
        <v>4.9487960992897317E-2</v>
      </c>
      <c r="L7" s="8">
        <f>L6/K6-1</f>
        <v>1.047266739002084E-2</v>
      </c>
      <c r="M7" s="8">
        <f>M6/L6-1</f>
        <v>1.047266739002084E-2</v>
      </c>
      <c r="N7" s="8">
        <f>N6/M6-1</f>
        <v>1.047266739002084E-2</v>
      </c>
      <c r="O7" s="8">
        <f>O6/N6-1</f>
        <v>1.047266739002084E-2</v>
      </c>
      <c r="P7" s="8">
        <f>P6/O6-1</f>
        <v>1.047266739002084E-2</v>
      </c>
    </row>
    <row r="9" spans="1:16">
      <c r="A9" s="5" t="s">
        <v>26</v>
      </c>
      <c r="B9" s="6">
        <v>7452.6</v>
      </c>
      <c r="C9" s="6">
        <v>8128.17</v>
      </c>
      <c r="D9" s="6">
        <v>9974.4</v>
      </c>
      <c r="E9" s="6">
        <v>9981.99</v>
      </c>
      <c r="F9" s="6">
        <v>10425.549999999999</v>
      </c>
      <c r="G9" s="6">
        <v>17123.25</v>
      </c>
      <c r="H9" s="6">
        <v>18985.53</v>
      </c>
      <c r="I9" s="6">
        <v>17410.84</v>
      </c>
      <c r="J9" s="6">
        <v>17504.509999999998</v>
      </c>
      <c r="K9" s="6">
        <v>17142.009999999998</v>
      </c>
    </row>
    <row r="10" spans="1:16">
      <c r="A10" s="5" t="s">
        <v>27</v>
      </c>
      <c r="B10" s="6">
        <v>528.6</v>
      </c>
      <c r="C10" s="6">
        <v>-142.13</v>
      </c>
      <c r="D10" s="6">
        <v>293.26</v>
      </c>
      <c r="E10" s="6">
        <v>239.15</v>
      </c>
      <c r="F10" s="6">
        <v>92.45</v>
      </c>
      <c r="G10" s="6">
        <v>1324.97</v>
      </c>
      <c r="H10" s="6">
        <v>309.73</v>
      </c>
      <c r="I10" s="6">
        <v>-363.8</v>
      </c>
      <c r="J10" s="6">
        <v>205</v>
      </c>
      <c r="K10" s="6">
        <v>-603.67999999999995</v>
      </c>
    </row>
    <row r="11" spans="1:16">
      <c r="A11" s="5" t="s">
        <v>28</v>
      </c>
      <c r="B11" s="6">
        <v>106.02</v>
      </c>
      <c r="C11" s="6">
        <v>110.3</v>
      </c>
      <c r="D11" s="6">
        <v>119.63</v>
      </c>
      <c r="E11" s="6">
        <v>97.79</v>
      </c>
      <c r="F11" s="6">
        <v>86.05</v>
      </c>
      <c r="G11" s="6">
        <v>117.23</v>
      </c>
      <c r="H11" s="6">
        <v>138.29</v>
      </c>
      <c r="I11" s="6">
        <v>133.25</v>
      </c>
      <c r="J11" s="6">
        <v>148.58000000000001</v>
      </c>
      <c r="K11" s="6">
        <v>167.1</v>
      </c>
    </row>
    <row r="12" spans="1:16">
      <c r="A12" s="5" t="s">
        <v>64</v>
      </c>
      <c r="B12" s="6">
        <v>1662.75</v>
      </c>
      <c r="C12" s="6">
        <v>1691.68</v>
      </c>
      <c r="D12" s="6">
        <v>1862.35</v>
      </c>
      <c r="E12" s="6">
        <v>1946.12</v>
      </c>
      <c r="F12" s="6">
        <v>2068.31</v>
      </c>
      <c r="G12" s="6">
        <v>2880.45</v>
      </c>
      <c r="H12" s="6">
        <v>2916.2</v>
      </c>
      <c r="I12" s="6">
        <v>2767.18</v>
      </c>
      <c r="J12" s="6">
        <v>2687.4</v>
      </c>
      <c r="K12" s="6">
        <v>2767.11</v>
      </c>
    </row>
    <row r="13" spans="1:16">
      <c r="A13" s="5" t="s">
        <v>30</v>
      </c>
      <c r="B13" s="6">
        <v>1039.8900000000001</v>
      </c>
      <c r="C13" s="6">
        <v>1121.8900000000001</v>
      </c>
      <c r="D13" s="6">
        <v>1242.69</v>
      </c>
      <c r="E13" s="6">
        <v>1371.27</v>
      </c>
      <c r="F13" s="6">
        <v>1547.61</v>
      </c>
      <c r="G13" s="6">
        <v>1794.61</v>
      </c>
      <c r="H13" s="6">
        <v>2036.41</v>
      </c>
      <c r="I13" s="6">
        <v>2334.92</v>
      </c>
      <c r="J13" s="6">
        <v>2605.7800000000002</v>
      </c>
      <c r="K13" s="6">
        <v>2809.73</v>
      </c>
    </row>
    <row r="14" spans="1:16">
      <c r="A14" s="5" t="s">
        <v>31</v>
      </c>
      <c r="B14" s="6">
        <v>4364.04</v>
      </c>
      <c r="C14" s="6">
        <v>2254.92</v>
      </c>
      <c r="D14" s="6">
        <v>2366.87</v>
      </c>
      <c r="E14" s="6">
        <v>2311.5100000000002</v>
      </c>
      <c r="F14" s="6">
        <v>2245.69</v>
      </c>
      <c r="G14" s="6">
        <v>2941.98</v>
      </c>
      <c r="H14" s="6">
        <v>3500.84</v>
      </c>
      <c r="I14" s="6">
        <v>3811.86</v>
      </c>
      <c r="J14" s="6">
        <v>3874.94</v>
      </c>
      <c r="K14" s="6">
        <v>4112.07</v>
      </c>
    </row>
    <row r="15" spans="1:16">
      <c r="A15" s="5" t="s">
        <v>32</v>
      </c>
      <c r="B15" s="6">
        <v>-2028.47</v>
      </c>
      <c r="C15" s="6">
        <v>171.45</v>
      </c>
      <c r="D15" s="6">
        <v>202.51</v>
      </c>
      <c r="E15" s="6">
        <v>579.95000000000005</v>
      </c>
      <c r="F15" s="6">
        <v>576.42999999999995</v>
      </c>
      <c r="G15" s="6">
        <v>765.12</v>
      </c>
      <c r="H15" s="6">
        <v>961.21</v>
      </c>
      <c r="I15" s="6">
        <v>1087.9000000000001</v>
      </c>
      <c r="J15" s="6">
        <v>1283.2</v>
      </c>
      <c r="K15" s="6">
        <v>1282.1099999999999</v>
      </c>
    </row>
    <row r="16" spans="1:16">
      <c r="A16" s="9" t="s">
        <v>65</v>
      </c>
      <c r="B16" s="10">
        <f t="shared" ref="B16:K16" si="1">SUM(B9:B15)</f>
        <v>13125.430000000002</v>
      </c>
      <c r="C16" s="10">
        <f t="shared" si="1"/>
        <v>13336.28</v>
      </c>
      <c r="D16" s="10">
        <f t="shared" si="1"/>
        <v>16061.710000000001</v>
      </c>
      <c r="E16" s="10">
        <f t="shared" si="1"/>
        <v>16527.78</v>
      </c>
      <c r="F16" s="10">
        <f t="shared" si="1"/>
        <v>17042.09</v>
      </c>
      <c r="G16" s="10">
        <f t="shared" si="1"/>
        <v>26947.61</v>
      </c>
      <c r="H16" s="10">
        <f t="shared" si="1"/>
        <v>28848.21</v>
      </c>
      <c r="I16" s="10">
        <f t="shared" si="1"/>
        <v>27182.15</v>
      </c>
      <c r="J16" s="10">
        <f t="shared" si="1"/>
        <v>28309.41</v>
      </c>
      <c r="K16" s="10">
        <f t="shared" si="1"/>
        <v>27676.449999999997</v>
      </c>
      <c r="L16" s="10">
        <f>L6-L21</f>
        <v>33290.769776938112</v>
      </c>
      <c r="M16" s="10">
        <f>M6-M21</f>
        <v>33639.41293596974</v>
      </c>
      <c r="N16" s="10">
        <f>N6-N21</f>
        <v>33991.707318843721</v>
      </c>
      <c r="O16" s="10">
        <f>O6-O21</f>
        <v>34347.691163612908</v>
      </c>
      <c r="P16" s="10">
        <f>P6-P21</f>
        <v>34707.403108784587</v>
      </c>
    </row>
    <row r="18" spans="1:16">
      <c r="A18" s="9" t="s">
        <v>66</v>
      </c>
      <c r="B18" s="10">
        <f t="shared" ref="B18:K18" si="2">B6-B16+B20</f>
        <v>2271.3499999999976</v>
      </c>
      <c r="C18" s="10">
        <f t="shared" si="2"/>
        <v>3848.7399999999989</v>
      </c>
      <c r="D18" s="10">
        <f t="shared" si="2"/>
        <v>3800.56</v>
      </c>
      <c r="E18" s="10">
        <f t="shared" si="2"/>
        <v>4463.9700000000012</v>
      </c>
      <c r="F18" s="10">
        <f t="shared" si="2"/>
        <v>5461.9700000000012</v>
      </c>
      <c r="G18" s="10">
        <f t="shared" si="2"/>
        <v>2970.0299999999984</v>
      </c>
      <c r="H18" s="10">
        <f t="shared" si="2"/>
        <v>6498.3999999999978</v>
      </c>
      <c r="I18" s="10">
        <f t="shared" si="2"/>
        <v>9165.5800000000017</v>
      </c>
      <c r="J18" s="10">
        <f t="shared" si="2"/>
        <v>6622.5500000000029</v>
      </c>
      <c r="K18" s="10">
        <f t="shared" si="2"/>
        <v>9135.9400000000041</v>
      </c>
      <c r="L18" s="10">
        <f>L21+L20</f>
        <v>2862.8812659760815</v>
      </c>
      <c r="M18" s="10">
        <f>M21+M20</f>
        <v>2892.8632692517713</v>
      </c>
      <c r="N18" s="10">
        <f>N21+N20</f>
        <v>2923.1592640754534</v>
      </c>
      <c r="O18" s="10">
        <f>O21+O20</f>
        <v>2953.7725387761734</v>
      </c>
      <c r="P18" s="10">
        <f>P21+P20</f>
        <v>2984.706416120554</v>
      </c>
    </row>
    <row r="19" spans="1:16">
      <c r="A19" s="5" t="s">
        <v>67</v>
      </c>
      <c r="B19" s="11">
        <f t="shared" ref="B19:P19" si="3">IFERROR(B18/B6,0)</f>
        <v>0.15080012667648815</v>
      </c>
      <c r="C19" s="11">
        <f t="shared" si="3"/>
        <v>0.22875738132669218</v>
      </c>
      <c r="D19" s="11">
        <f t="shared" si="3"/>
        <v>0.19753296885208155</v>
      </c>
      <c r="E19" s="11">
        <f t="shared" si="3"/>
        <v>0.22086560702579014</v>
      </c>
      <c r="F19" s="11">
        <f t="shared" si="3"/>
        <v>0.25155541963976075</v>
      </c>
      <c r="G19" s="11">
        <f t="shared" si="3"/>
        <v>0.10205839743131569</v>
      </c>
      <c r="H19" s="11">
        <f t="shared" si="3"/>
        <v>0.18842173600022497</v>
      </c>
      <c r="I19" s="11">
        <f t="shared" si="3"/>
        <v>0.25822368560065118</v>
      </c>
      <c r="J19" s="11">
        <f t="shared" si="3"/>
        <v>0.19532307623337966</v>
      </c>
      <c r="K19" s="11">
        <f t="shared" si="3"/>
        <v>0.25674623716471168</v>
      </c>
      <c r="L19" s="8">
        <f t="shared" si="3"/>
        <v>7.9621364259992125E-2</v>
      </c>
      <c r="M19" s="8">
        <f t="shared" si="3"/>
        <v>7.9621364259992139E-2</v>
      </c>
      <c r="N19" s="8">
        <f t="shared" si="3"/>
        <v>7.9621364259992139E-2</v>
      </c>
      <c r="O19" s="8">
        <f t="shared" si="3"/>
        <v>7.9621364259992125E-2</v>
      </c>
      <c r="P19" s="8">
        <f t="shared" si="3"/>
        <v>7.9621364259992125E-2</v>
      </c>
    </row>
    <row r="20" spans="1:16">
      <c r="A20" s="5" t="s">
        <v>34</v>
      </c>
      <c r="B20" s="6">
        <v>334.79</v>
      </c>
      <c r="C20" s="6">
        <v>360.47</v>
      </c>
      <c r="D20" s="6">
        <v>622.14</v>
      </c>
      <c r="E20" s="6">
        <v>780.5</v>
      </c>
      <c r="F20" s="6">
        <v>791.27</v>
      </c>
      <c r="G20" s="6">
        <v>816.36</v>
      </c>
      <c r="H20" s="6">
        <v>858.02</v>
      </c>
      <c r="I20" s="6">
        <v>853</v>
      </c>
      <c r="J20" s="6">
        <v>1026.3399999999999</v>
      </c>
      <c r="K20" s="6">
        <v>1228.8499999999999</v>
      </c>
      <c r="L20" s="2">
        <f>L6*'Forecast Assumptions'!$B$9</f>
        <v>197.45646393468397</v>
      </c>
      <c r="M20" s="2">
        <f>M6*'Forecast Assumptions'!$B$9</f>
        <v>199.52435980548157</v>
      </c>
      <c r="N20" s="2">
        <f>N6*'Forecast Assumptions'!$B$9</f>
        <v>201.61391206193125</v>
      </c>
      <c r="O20" s="2">
        <f>O6*'Forecast Assumptions'!$B$9</f>
        <v>203.72534750415676</v>
      </c>
      <c r="P20" s="2">
        <f>P6*'Forecast Assumptions'!$B$9</f>
        <v>205.85889530748423</v>
      </c>
    </row>
    <row r="21" spans="1:16">
      <c r="A21" s="9" t="s">
        <v>68</v>
      </c>
      <c r="B21" s="10">
        <f t="shared" ref="B21:K21" si="4">B18-B20</f>
        <v>1936.5599999999977</v>
      </c>
      <c r="C21" s="10">
        <f t="shared" si="4"/>
        <v>3488.2699999999986</v>
      </c>
      <c r="D21" s="10">
        <f t="shared" si="4"/>
        <v>3178.42</v>
      </c>
      <c r="E21" s="10">
        <f t="shared" si="4"/>
        <v>3683.4700000000012</v>
      </c>
      <c r="F21" s="10">
        <f t="shared" si="4"/>
        <v>4670.7000000000007</v>
      </c>
      <c r="G21" s="10">
        <f t="shared" si="4"/>
        <v>2153.6699999999983</v>
      </c>
      <c r="H21" s="10">
        <f t="shared" si="4"/>
        <v>5640.3799999999974</v>
      </c>
      <c r="I21" s="10">
        <f t="shared" si="4"/>
        <v>8312.5800000000017</v>
      </c>
      <c r="J21" s="10">
        <f t="shared" si="4"/>
        <v>5596.2100000000028</v>
      </c>
      <c r="K21" s="10">
        <f t="shared" si="4"/>
        <v>7907.0900000000038</v>
      </c>
      <c r="L21" s="10">
        <f>L6*'Forecast Assumptions'!$B$7</f>
        <v>2665.4248020413975</v>
      </c>
      <c r="M21" s="10">
        <f>M6*'Forecast Assumptions'!$B$7</f>
        <v>2693.3389094462896</v>
      </c>
      <c r="N21" s="10">
        <f>N6*'Forecast Assumptions'!$B$7</f>
        <v>2721.545352013522</v>
      </c>
      <c r="O21" s="10">
        <f>O6*'Forecast Assumptions'!$B$7</f>
        <v>2750.0471912720168</v>
      </c>
      <c r="P21" s="10">
        <f>P6*'Forecast Assumptions'!$B$7</f>
        <v>2778.8475208130699</v>
      </c>
    </row>
    <row r="22" spans="1:16">
      <c r="A22" s="5" t="s">
        <v>69</v>
      </c>
      <c r="B22" s="11">
        <f t="shared" ref="B22:P22" si="5">IFERROR(B21/B6,0)</f>
        <v>0.12857265208647714</v>
      </c>
      <c r="C22" s="11">
        <f t="shared" si="5"/>
        <v>0.20733214261302674</v>
      </c>
      <c r="D22" s="11">
        <f t="shared" si="5"/>
        <v>0.16519742849970348</v>
      </c>
      <c r="E22" s="11">
        <f t="shared" si="5"/>
        <v>0.18224850021646366</v>
      </c>
      <c r="F22" s="11">
        <f t="shared" si="5"/>
        <v>0.21511284362811045</v>
      </c>
      <c r="G22" s="11">
        <f t="shared" si="5"/>
        <v>7.4006023102763802E-2</v>
      </c>
      <c r="H22" s="11">
        <f t="shared" si="5"/>
        <v>0.16354336318185225</v>
      </c>
      <c r="I22" s="11">
        <f t="shared" si="5"/>
        <v>0.23419194905835319</v>
      </c>
      <c r="J22" s="11">
        <f t="shared" si="5"/>
        <v>0.16505257830412781</v>
      </c>
      <c r="K22" s="11">
        <f t="shared" si="5"/>
        <v>0.22221201150869205</v>
      </c>
      <c r="L22" s="8">
        <f t="shared" si="5"/>
        <v>7.4129780229847855E-2</v>
      </c>
      <c r="M22" s="8">
        <f t="shared" si="5"/>
        <v>7.4129780229847855E-2</v>
      </c>
      <c r="N22" s="8">
        <f t="shared" si="5"/>
        <v>7.4129780229847855E-2</v>
      </c>
      <c r="O22" s="8">
        <f t="shared" si="5"/>
        <v>7.4129780229847855E-2</v>
      </c>
      <c r="P22" s="8">
        <f t="shared" si="5"/>
        <v>7.4129780229847855E-2</v>
      </c>
    </row>
    <row r="24" spans="1:16">
      <c r="A24" s="5" t="s">
        <v>33</v>
      </c>
      <c r="B24" s="6">
        <v>337.9</v>
      </c>
      <c r="C24" s="6">
        <v>336.41</v>
      </c>
      <c r="D24" s="6">
        <v>273.77</v>
      </c>
      <c r="E24" s="6">
        <v>350.1</v>
      </c>
      <c r="F24" s="6">
        <v>331.65</v>
      </c>
      <c r="G24" s="6">
        <v>295.88</v>
      </c>
      <c r="H24" s="6">
        <v>431.46</v>
      </c>
      <c r="I24" s="6">
        <v>820.96</v>
      </c>
      <c r="J24" s="6">
        <v>350.22</v>
      </c>
      <c r="K24" s="6">
        <v>727.97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>
      <c r="A25" s="5" t="s">
        <v>35</v>
      </c>
      <c r="B25" s="6">
        <v>37.33</v>
      </c>
      <c r="C25" s="6">
        <v>41.47</v>
      </c>
      <c r="D25" s="6">
        <v>110.47</v>
      </c>
      <c r="E25" s="6">
        <v>102.33</v>
      </c>
      <c r="F25" s="6">
        <v>91.63</v>
      </c>
      <c r="G25" s="6">
        <v>95.41</v>
      </c>
      <c r="H25" s="6">
        <v>144.44999999999999</v>
      </c>
      <c r="I25" s="6">
        <v>205.17</v>
      </c>
      <c r="J25" s="6">
        <v>227.02</v>
      </c>
      <c r="K25" s="6">
        <v>195.41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>
      <c r="A26" s="9" t="s">
        <v>70</v>
      </c>
      <c r="B26" s="12">
        <v>2959.54</v>
      </c>
      <c r="C26" s="12">
        <v>3138.48</v>
      </c>
      <c r="D26" s="12">
        <v>3306.1</v>
      </c>
      <c r="E26" s="12">
        <v>3629.04</v>
      </c>
      <c r="F26" s="12">
        <v>4304.3500000000004</v>
      </c>
      <c r="G26" s="12">
        <v>4187.72</v>
      </c>
      <c r="H26" s="12">
        <v>5688.83</v>
      </c>
      <c r="I26" s="12">
        <v>7347.77</v>
      </c>
      <c r="J26" s="12">
        <v>5103.07</v>
      </c>
      <c r="K26" s="12">
        <v>6003.44</v>
      </c>
      <c r="L26" s="10">
        <f>L21+L24-L25</f>
        <v>2665.4248020413975</v>
      </c>
      <c r="M26" s="10">
        <f>M21+M24-M25</f>
        <v>2693.3389094462896</v>
      </c>
      <c r="N26" s="10">
        <f>N21+N24-N25</f>
        <v>2721.545352013522</v>
      </c>
      <c r="O26" s="10">
        <f>O21+O24-O25</f>
        <v>2750.0471912720168</v>
      </c>
      <c r="P26" s="10">
        <f>P21+P24-P25</f>
        <v>2778.8475208130699</v>
      </c>
    </row>
    <row r="27" spans="1:16">
      <c r="A27" s="5" t="s">
        <v>37</v>
      </c>
      <c r="B27" s="6">
        <v>943.29</v>
      </c>
      <c r="C27" s="6">
        <v>1040.96</v>
      </c>
      <c r="D27" s="6">
        <v>1098.06</v>
      </c>
      <c r="E27" s="6">
        <v>854.85</v>
      </c>
      <c r="F27" s="6">
        <v>1097.5999999999999</v>
      </c>
      <c r="G27" s="6">
        <v>1102.9100000000001</v>
      </c>
      <c r="H27" s="6">
        <v>1493.5</v>
      </c>
      <c r="I27" s="6">
        <v>1790.08</v>
      </c>
      <c r="J27" s="6">
        <v>1393.36</v>
      </c>
      <c r="K27" s="6">
        <v>1608.75</v>
      </c>
      <c r="L27" s="2">
        <f>L26*'Forecast Assumptions'!$B$8</f>
        <v>7166.3684024924687</v>
      </c>
      <c r="M27" s="2">
        <f>M26*'Forecast Assumptions'!$B$8</f>
        <v>7241.4193951661282</v>
      </c>
      <c r="N27" s="2">
        <f>N26*'Forecast Assumptions'!$B$8</f>
        <v>7317.2563719233494</v>
      </c>
      <c r="O27" s="2">
        <f>O26*'Forecast Assumptions'!$B$8</f>
        <v>7393.887564114013</v>
      </c>
      <c r="P27" s="2">
        <f>P26*'Forecast Assumptions'!$B$8</f>
        <v>7471.3212892921911</v>
      </c>
    </row>
    <row r="28" spans="1:16">
      <c r="A28" s="5" t="s">
        <v>71</v>
      </c>
      <c r="B28" s="11">
        <f t="shared" ref="B28:P28" si="6">IFERROR(B27/B26,0)</f>
        <v>0.31872858619920663</v>
      </c>
      <c r="C28" s="11">
        <f t="shared" si="6"/>
        <v>0.33167648033442942</v>
      </c>
      <c r="D28" s="11">
        <f t="shared" si="6"/>
        <v>0.3321315144732464</v>
      </c>
      <c r="E28" s="11">
        <f t="shared" si="6"/>
        <v>0.23555816414258318</v>
      </c>
      <c r="F28" s="11">
        <f t="shared" si="6"/>
        <v>0.25499785101118633</v>
      </c>
      <c r="G28" s="11">
        <f t="shared" si="6"/>
        <v>0.26336765590822692</v>
      </c>
      <c r="H28" s="11">
        <f t="shared" si="6"/>
        <v>0.26253201449155628</v>
      </c>
      <c r="I28" s="11">
        <f t="shared" si="6"/>
        <v>0.24362221463110573</v>
      </c>
      <c r="J28" s="11">
        <f t="shared" si="6"/>
        <v>0.27304348166887776</v>
      </c>
      <c r="K28" s="11">
        <f t="shared" si="6"/>
        <v>0.2679713630851645</v>
      </c>
      <c r="L28" s="8">
        <f t="shared" si="6"/>
        <v>2.6886402486402488</v>
      </c>
      <c r="M28" s="8">
        <f t="shared" si="6"/>
        <v>2.6886402486402488</v>
      </c>
      <c r="N28" s="8">
        <f t="shared" si="6"/>
        <v>2.6886402486402488</v>
      </c>
      <c r="O28" s="8">
        <f t="shared" si="6"/>
        <v>2.6886402486402488</v>
      </c>
      <c r="P28" s="8">
        <f t="shared" si="6"/>
        <v>2.6886402486402488</v>
      </c>
    </row>
    <row r="29" spans="1:16">
      <c r="A29" s="9" t="s">
        <v>38</v>
      </c>
      <c r="B29" s="12">
        <v>1939.43</v>
      </c>
      <c r="C29" s="12">
        <v>2038.93</v>
      </c>
      <c r="D29" s="12">
        <v>2155.92</v>
      </c>
      <c r="E29" s="12">
        <v>2705.17</v>
      </c>
      <c r="F29" s="12">
        <v>3139.29</v>
      </c>
      <c r="G29" s="12">
        <v>3030.57</v>
      </c>
      <c r="H29" s="12">
        <v>4106.45</v>
      </c>
      <c r="I29" s="12">
        <v>5460.23</v>
      </c>
      <c r="J29" s="12">
        <v>3667.23</v>
      </c>
      <c r="K29" s="12">
        <v>4325.3500000000004</v>
      </c>
      <c r="L29" s="10">
        <f>L26-L27</f>
        <v>-4500.9436004510717</v>
      </c>
      <c r="M29" s="10">
        <f>M26-M27</f>
        <v>-4548.0804857198382</v>
      </c>
      <c r="N29" s="10">
        <f>N26-N27</f>
        <v>-4595.7110199098279</v>
      </c>
      <c r="O29" s="10">
        <f>O26-O27</f>
        <v>-4643.8403728419962</v>
      </c>
      <c r="P29" s="10">
        <f>P26-P27</f>
        <v>-4692.4737684791216</v>
      </c>
    </row>
    <row r="30" spans="1:16">
      <c r="A30" s="5" t="s">
        <v>72</v>
      </c>
      <c r="B30" s="11">
        <f t="shared" ref="B30:P30" si="7">IFERROR(B29/B6,0)</f>
        <v>0.12876319795724203</v>
      </c>
      <c r="C30" s="11">
        <f t="shared" si="7"/>
        <v>0.12118778808348515</v>
      </c>
      <c r="D30" s="11">
        <f t="shared" si="7"/>
        <v>0.11205329693718286</v>
      </c>
      <c r="E30" s="11">
        <f t="shared" si="7"/>
        <v>0.13384476467313997</v>
      </c>
      <c r="F30" s="11">
        <f t="shared" si="7"/>
        <v>0.14458252486207437</v>
      </c>
      <c r="G30" s="11">
        <f t="shared" si="7"/>
        <v>0.10413871829692715</v>
      </c>
      <c r="H30" s="11">
        <f t="shared" si="7"/>
        <v>0.11906691459407301</v>
      </c>
      <c r="I30" s="11">
        <f t="shared" si="7"/>
        <v>0.15383213226301479</v>
      </c>
      <c r="J30" s="11">
        <f t="shared" si="7"/>
        <v>0.10815994516543274</v>
      </c>
      <c r="K30" s="11">
        <f t="shared" si="7"/>
        <v>0.12155479752717127</v>
      </c>
      <c r="L30" s="8">
        <f t="shared" si="7"/>
        <v>-0.12517853051897729</v>
      </c>
      <c r="M30" s="8">
        <f t="shared" si="7"/>
        <v>-0.12517853051897726</v>
      </c>
      <c r="N30" s="8">
        <f t="shared" si="7"/>
        <v>-0.12517853051897729</v>
      </c>
      <c r="O30" s="8">
        <f t="shared" si="7"/>
        <v>-0.12517853051897726</v>
      </c>
      <c r="P30" s="8">
        <f t="shared" si="7"/>
        <v>-0.12517853051897729</v>
      </c>
    </row>
    <row r="31" spans="1:16">
      <c r="A31" s="5" t="s">
        <v>73</v>
      </c>
      <c r="B31" s="13">
        <f>IFERROR(B29/'Forecast Assumptions'!$B$17,0)</f>
        <v>20.219295933573356</v>
      </c>
      <c r="C31" s="13">
        <f>IFERROR(C29/'Forecast Assumptions'!$B$17,0)</f>
        <v>21.25662130514673</v>
      </c>
      <c r="D31" s="13">
        <f>IFERROR(D29/'Forecast Assumptions'!$B$17,0)</f>
        <v>22.476286583743406</v>
      </c>
      <c r="E31" s="13">
        <f>IFERROR(E29/'Forecast Assumptions'!$B$17,0)</f>
        <v>28.202426888634619</v>
      </c>
      <c r="F31" s="13">
        <f>IFERROR(F29/'Forecast Assumptions'!$B$17,0)</f>
        <v>32.728293122880174</v>
      </c>
      <c r="G31" s="13">
        <f>IFERROR(G29/'Forecast Assumptions'!$B$17,0)</f>
        <v>31.594845742001212</v>
      </c>
      <c r="H31" s="13">
        <f>IFERROR(H29/'Forecast Assumptions'!$B$17,0)</f>
        <v>42.811304242185749</v>
      </c>
      <c r="I31" s="13">
        <f>IFERROR(I29/'Forecast Assumptions'!$B$17,0)</f>
        <v>56.924976016342555</v>
      </c>
      <c r="J31" s="13">
        <f>IFERROR(J29/'Forecast Assumptions'!$B$17,0)</f>
        <v>38.232268566784171</v>
      </c>
      <c r="K31" s="13">
        <f>IFERROR(K29/'Forecast Assumptions'!$B$17,0)</f>
        <v>45.09342005964718</v>
      </c>
      <c r="L31" s="14">
        <f>IFERROR(L29/'Forecast Assumptions'!$B$17,0)</f>
        <v>-46.924050178579982</v>
      </c>
      <c r="M31" s="14">
        <f>IFERROR(M29/'Forecast Assumptions'!$B$17,0)</f>
        <v>-47.415470148692897</v>
      </c>
      <c r="N31" s="14">
        <f>IFERROR(N29/'Forecast Assumptions'!$B$17,0)</f>
        <v>-47.912036596701633</v>
      </c>
      <c r="O31" s="14">
        <f>IFERROR(O29/'Forecast Assumptions'!$B$17,0)</f>
        <v>-48.413803419957389</v>
      </c>
      <c r="P31" s="14">
        <f>IFERROR(P29/'Forecast Assumptions'!$B$17,0)</f>
        <v>-48.920825080260464</v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B20" sqref="B20"/>
    </sheetView>
  </sheetViews>
  <sheetFormatPr defaultRowHeight="14.4"/>
  <cols>
    <col min="1" max="1" width="28" customWidth="1"/>
    <col min="2" max="16" width="12" customWidth="1"/>
  </cols>
  <sheetData>
    <row r="2" spans="1:16" ht="18">
      <c r="A2" s="25" t="s">
        <v>74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>
      <c r="A4" s="4" t="s">
        <v>24</v>
      </c>
      <c r="B4" s="4">
        <v>42825</v>
      </c>
      <c r="C4" s="4">
        <v>43190</v>
      </c>
      <c r="D4" s="4">
        <v>43555</v>
      </c>
      <c r="E4" s="4">
        <v>43921</v>
      </c>
      <c r="F4" s="4">
        <v>44286</v>
      </c>
      <c r="G4" s="4">
        <v>44651</v>
      </c>
      <c r="H4" s="4">
        <v>45016</v>
      </c>
      <c r="I4" s="4">
        <v>45382</v>
      </c>
      <c r="J4" s="4">
        <v>45747</v>
      </c>
      <c r="K4" s="4">
        <v>46112</v>
      </c>
      <c r="L4" s="4" t="s">
        <v>58</v>
      </c>
      <c r="M4" s="4" t="s">
        <v>59</v>
      </c>
      <c r="N4" s="4" t="s">
        <v>60</v>
      </c>
      <c r="O4" s="4" t="s">
        <v>61</v>
      </c>
      <c r="P4" s="4" t="s">
        <v>62</v>
      </c>
    </row>
    <row r="6" spans="1:16">
      <c r="A6" s="5" t="s">
        <v>40</v>
      </c>
      <c r="B6" s="6">
        <v>95.92</v>
      </c>
      <c r="C6" s="6">
        <v>95.92</v>
      </c>
      <c r="D6" s="6">
        <v>95.92</v>
      </c>
      <c r="E6" s="6">
        <v>95.92</v>
      </c>
      <c r="F6" s="6">
        <v>95.92</v>
      </c>
      <c r="G6" s="6">
        <v>95.92</v>
      </c>
      <c r="H6" s="6">
        <v>95.92</v>
      </c>
      <c r="I6" s="6">
        <v>95.92</v>
      </c>
      <c r="J6" s="6">
        <v>95.92</v>
      </c>
      <c r="K6" s="6">
        <v>95.92</v>
      </c>
      <c r="L6" s="2">
        <f>K6</f>
        <v>95.92</v>
      </c>
      <c r="M6" s="2">
        <f>L6</f>
        <v>95.92</v>
      </c>
      <c r="N6" s="2">
        <f>M6</f>
        <v>95.92</v>
      </c>
      <c r="O6" s="2">
        <f>N6</f>
        <v>95.92</v>
      </c>
      <c r="P6" s="2">
        <f>O6</f>
        <v>95.92</v>
      </c>
    </row>
    <row r="7" spans="1:16">
      <c r="A7" s="5" t="s">
        <v>41</v>
      </c>
      <c r="B7" s="6">
        <v>7507.97</v>
      </c>
      <c r="C7" s="6">
        <v>8314.31</v>
      </c>
      <c r="D7" s="6">
        <v>9374.6299999999992</v>
      </c>
      <c r="E7" s="6">
        <v>10034.24</v>
      </c>
      <c r="F7" s="6">
        <v>12710.37</v>
      </c>
      <c r="G7" s="6">
        <v>13715.64</v>
      </c>
      <c r="H7" s="6">
        <v>15896.31</v>
      </c>
      <c r="I7" s="6">
        <v>18632.38</v>
      </c>
      <c r="J7" s="6">
        <v>19303.89</v>
      </c>
      <c r="K7" s="6">
        <v>21275.67</v>
      </c>
      <c r="L7" s="2">
        <f>K7+'Income Statement'!L29</f>
        <v>16774.726399548927</v>
      </c>
      <c r="M7" s="2">
        <f>L7+'Income Statement'!M29</f>
        <v>12226.645913829088</v>
      </c>
      <c r="N7" s="2">
        <f>M7+'Income Statement'!N29</f>
        <v>7630.9348939192605</v>
      </c>
      <c r="O7" s="2">
        <f>N7+'Income Statement'!O29</f>
        <v>2987.0945210772643</v>
      </c>
      <c r="P7" s="2">
        <f>O7+'Income Statement'!P29</f>
        <v>-1705.3792474018574</v>
      </c>
    </row>
    <row r="8" spans="1:16">
      <c r="A8" s="5" t="s">
        <v>42</v>
      </c>
      <c r="B8" s="6">
        <v>560.34</v>
      </c>
      <c r="C8" s="6">
        <v>533.42999999999995</v>
      </c>
      <c r="D8" s="6">
        <v>1319.6</v>
      </c>
      <c r="E8" s="6">
        <v>1118.5</v>
      </c>
      <c r="F8" s="6">
        <v>1093.1199999999999</v>
      </c>
      <c r="G8" s="6">
        <v>1586.88</v>
      </c>
      <c r="H8" s="6">
        <v>1932.62</v>
      </c>
      <c r="I8" s="6">
        <v>2474.38</v>
      </c>
      <c r="J8" s="6">
        <v>2290.29</v>
      </c>
      <c r="K8" s="6">
        <v>3928.93</v>
      </c>
      <c r="L8" s="2">
        <f t="shared" ref="L8:P9" si="0">K8</f>
        <v>3928.93</v>
      </c>
      <c r="M8" s="2">
        <f t="shared" si="0"/>
        <v>3928.93</v>
      </c>
      <c r="N8" s="2">
        <f t="shared" si="0"/>
        <v>3928.93</v>
      </c>
      <c r="O8" s="2">
        <f t="shared" si="0"/>
        <v>3928.93</v>
      </c>
      <c r="P8" s="2">
        <f t="shared" si="0"/>
        <v>3928.93</v>
      </c>
    </row>
    <row r="9" spans="1:16">
      <c r="A9" s="5" t="s">
        <v>43</v>
      </c>
      <c r="B9" s="6">
        <v>4240.96</v>
      </c>
      <c r="C9" s="6">
        <v>4819.82</v>
      </c>
      <c r="D9" s="6">
        <v>5458.69</v>
      </c>
      <c r="E9" s="6">
        <v>4889.3100000000004</v>
      </c>
      <c r="F9" s="6">
        <v>6455.93</v>
      </c>
      <c r="G9" s="6">
        <v>7559.99</v>
      </c>
      <c r="H9" s="6">
        <v>7854.48</v>
      </c>
      <c r="I9" s="6">
        <v>8698.09</v>
      </c>
      <c r="J9" s="6">
        <v>8665.15</v>
      </c>
      <c r="K9" s="6">
        <v>9218.23</v>
      </c>
      <c r="L9" s="2">
        <f t="shared" si="0"/>
        <v>9218.23</v>
      </c>
      <c r="M9" s="2">
        <f t="shared" si="0"/>
        <v>9218.23</v>
      </c>
      <c r="N9" s="2">
        <f t="shared" si="0"/>
        <v>9218.23</v>
      </c>
      <c r="O9" s="2">
        <f t="shared" si="0"/>
        <v>9218.23</v>
      </c>
      <c r="P9" s="2">
        <f t="shared" si="0"/>
        <v>9218.23</v>
      </c>
    </row>
    <row r="10" spans="1:16">
      <c r="A10" s="9" t="s">
        <v>44</v>
      </c>
      <c r="B10" s="12">
        <v>12405.19</v>
      </c>
      <c r="C10" s="12">
        <v>13763.48</v>
      </c>
      <c r="D10" s="12">
        <v>16248.84</v>
      </c>
      <c r="E10" s="12">
        <v>16137.97</v>
      </c>
      <c r="F10" s="12">
        <v>20355.34</v>
      </c>
      <c r="G10" s="12">
        <v>22958.43</v>
      </c>
      <c r="H10" s="12">
        <v>25779.33</v>
      </c>
      <c r="I10" s="12">
        <v>29900.77</v>
      </c>
      <c r="J10" s="12">
        <v>30355.25</v>
      </c>
      <c r="K10" s="12">
        <v>34518.75</v>
      </c>
      <c r="L10" s="10">
        <f>SUM(L6:L9)</f>
        <v>30017.806399548925</v>
      </c>
      <c r="M10" s="10">
        <f>SUM(M6:M9)</f>
        <v>25469.72591382909</v>
      </c>
      <c r="N10" s="10">
        <f>SUM(N6:N9)</f>
        <v>20874.014893919259</v>
      </c>
      <c r="O10" s="10">
        <f>SUM(O6:O9)</f>
        <v>16230.174521077264</v>
      </c>
      <c r="P10" s="10">
        <f>SUM(P6:P9)</f>
        <v>11537.700752598143</v>
      </c>
    </row>
    <row r="11" spans="1:16">
      <c r="L11" s="2"/>
      <c r="M11" s="2"/>
      <c r="N11" s="2"/>
      <c r="O11" s="2"/>
      <c r="P11" s="2"/>
    </row>
    <row r="12" spans="1:16">
      <c r="A12" s="5" t="s">
        <v>45</v>
      </c>
      <c r="B12" s="6">
        <v>3303.74</v>
      </c>
      <c r="C12" s="6">
        <v>3732.24</v>
      </c>
      <c r="D12" s="6">
        <v>6496.56</v>
      </c>
      <c r="E12" s="6">
        <v>6272.31</v>
      </c>
      <c r="F12" s="6">
        <v>5858.52</v>
      </c>
      <c r="G12" s="6">
        <v>5519.06</v>
      </c>
      <c r="H12" s="6">
        <v>5770.46</v>
      </c>
      <c r="I12" s="6">
        <v>7146.62</v>
      </c>
      <c r="J12" s="6">
        <v>9220.1</v>
      </c>
      <c r="K12" s="6">
        <v>9640.2800000000007</v>
      </c>
      <c r="L12" s="2">
        <f>K12+'Income Statement'!L20</f>
        <v>9837.7364639346852</v>
      </c>
      <c r="M12" s="2">
        <f>L12+'Income Statement'!M20</f>
        <v>10037.260823740167</v>
      </c>
      <c r="N12" s="2">
        <f>M12+'Income Statement'!N20</f>
        <v>10238.874735802099</v>
      </c>
      <c r="O12" s="2">
        <f>N12+'Income Statement'!O20</f>
        <v>10442.600083306255</v>
      </c>
      <c r="P12" s="2">
        <f>O12+'Income Statement'!P20</f>
        <v>10648.45897861374</v>
      </c>
    </row>
    <row r="13" spans="1:16">
      <c r="A13" s="5" t="s">
        <v>75</v>
      </c>
      <c r="B13" s="6">
        <v>257.54000000000002</v>
      </c>
      <c r="C13" s="6">
        <v>1405.11</v>
      </c>
      <c r="D13" s="6">
        <v>209.67</v>
      </c>
      <c r="E13" s="6">
        <v>140.24</v>
      </c>
      <c r="F13" s="6">
        <v>182.98</v>
      </c>
      <c r="G13" s="6">
        <v>426.43</v>
      </c>
      <c r="H13" s="6">
        <v>1019.59</v>
      </c>
      <c r="I13" s="6">
        <v>2698.37</v>
      </c>
      <c r="J13" s="6">
        <v>1254.49</v>
      </c>
      <c r="K13" s="6">
        <v>1848.67</v>
      </c>
      <c r="L13" s="2">
        <f t="shared" ref="L13:P14" si="1">K13</f>
        <v>1848.67</v>
      </c>
      <c r="M13" s="2">
        <f t="shared" si="1"/>
        <v>1848.67</v>
      </c>
      <c r="N13" s="2">
        <f t="shared" si="1"/>
        <v>1848.67</v>
      </c>
      <c r="O13" s="2">
        <f t="shared" si="1"/>
        <v>1848.67</v>
      </c>
      <c r="P13" s="2">
        <f t="shared" si="1"/>
        <v>1848.67</v>
      </c>
    </row>
    <row r="14" spans="1:16">
      <c r="A14" s="5" t="s">
        <v>47</v>
      </c>
      <c r="B14" s="6">
        <v>2651.99</v>
      </c>
      <c r="C14" s="6">
        <v>2140.6999999999998</v>
      </c>
      <c r="D14" s="6">
        <v>2568.58</v>
      </c>
      <c r="E14" s="6">
        <v>2018.85</v>
      </c>
      <c r="F14" s="6">
        <v>4736.8</v>
      </c>
      <c r="G14" s="6">
        <v>3247.53</v>
      </c>
      <c r="H14" s="6">
        <v>4261.71</v>
      </c>
      <c r="I14" s="6">
        <v>4587.92</v>
      </c>
      <c r="J14" s="6">
        <v>4724.75</v>
      </c>
      <c r="K14" s="6">
        <v>7061.74</v>
      </c>
      <c r="L14" s="2">
        <f t="shared" si="1"/>
        <v>7061.74</v>
      </c>
      <c r="M14" s="2">
        <f t="shared" si="1"/>
        <v>7061.74</v>
      </c>
      <c r="N14" s="2">
        <f t="shared" si="1"/>
        <v>7061.74</v>
      </c>
      <c r="O14" s="2">
        <f t="shared" si="1"/>
        <v>7061.74</v>
      </c>
      <c r="P14" s="2">
        <f t="shared" si="1"/>
        <v>7061.74</v>
      </c>
    </row>
    <row r="15" spans="1:16">
      <c r="A15" s="5" t="s">
        <v>48</v>
      </c>
      <c r="B15" s="6">
        <v>6191.92</v>
      </c>
      <c r="C15" s="6">
        <v>6485.43</v>
      </c>
      <c r="D15" s="6">
        <v>6974.03</v>
      </c>
      <c r="E15" s="6">
        <v>7706.57</v>
      </c>
      <c r="F15" s="6">
        <v>9577.0400000000009</v>
      </c>
      <c r="G15" s="6">
        <v>13765.41</v>
      </c>
      <c r="H15" s="6">
        <v>14727.57</v>
      </c>
      <c r="I15" s="6">
        <v>15467.86</v>
      </c>
      <c r="J15" s="6">
        <v>15155.91</v>
      </c>
      <c r="K15" s="6">
        <v>15968.06</v>
      </c>
      <c r="L15" s="2">
        <f>L10-SUM(L12:L14)</f>
        <v>11269.65993561424</v>
      </c>
      <c r="M15" s="2">
        <f>M10-SUM(M12:M14)</f>
        <v>6522.0550900889211</v>
      </c>
      <c r="N15" s="2">
        <f>N10-SUM(N12:N14)</f>
        <v>1724.7301581171596</v>
      </c>
      <c r="O15" s="2">
        <f>O10-SUM(O12:O14)</f>
        <v>-3122.8355622289891</v>
      </c>
      <c r="P15" s="2">
        <f>P10-SUM(P12:P14)</f>
        <v>-8021.1682260155976</v>
      </c>
    </row>
    <row r="16" spans="1:16">
      <c r="A16" s="9" t="s">
        <v>49</v>
      </c>
      <c r="B16" s="12">
        <v>12405.19</v>
      </c>
      <c r="C16" s="12">
        <v>13763.48</v>
      </c>
      <c r="D16" s="12">
        <v>16248.84</v>
      </c>
      <c r="E16" s="12">
        <v>16137.97</v>
      </c>
      <c r="F16" s="12">
        <v>20355.34</v>
      </c>
      <c r="G16" s="12">
        <v>22958.43</v>
      </c>
      <c r="H16" s="12">
        <v>25779.33</v>
      </c>
      <c r="I16" s="12">
        <v>29900.77</v>
      </c>
      <c r="J16" s="12">
        <v>30355.25</v>
      </c>
      <c r="K16" s="12">
        <v>34518.75</v>
      </c>
      <c r="L16" s="10">
        <f>SUM(L12:L15)</f>
        <v>30017.806399548925</v>
      </c>
      <c r="M16" s="10">
        <f>SUM(M12:M15)</f>
        <v>25469.72591382909</v>
      </c>
      <c r="N16" s="10">
        <f>SUM(N12:N15)</f>
        <v>20874.014893919259</v>
      </c>
      <c r="O16" s="10">
        <f>SUM(O12:O15)</f>
        <v>16230.174521077264</v>
      </c>
      <c r="P16" s="10">
        <f>SUM(P12:P15)</f>
        <v>11537.700752598143</v>
      </c>
    </row>
    <row r="17" spans="1:16">
      <c r="L17" s="2"/>
      <c r="M17" s="2"/>
      <c r="N17" s="2"/>
      <c r="O17" s="2"/>
      <c r="P17" s="2"/>
    </row>
    <row r="18" spans="1:16">
      <c r="A18" s="5" t="s">
        <v>50</v>
      </c>
      <c r="B18" s="6">
        <v>1446.6</v>
      </c>
      <c r="C18" s="6">
        <v>1730.63</v>
      </c>
      <c r="D18" s="6">
        <v>1907.33</v>
      </c>
      <c r="E18" s="6">
        <v>1795.22</v>
      </c>
      <c r="F18" s="6">
        <v>2602.17</v>
      </c>
      <c r="G18" s="6">
        <v>3871.44</v>
      </c>
      <c r="H18" s="6">
        <v>4636.9399999999996</v>
      </c>
      <c r="I18" s="6">
        <v>4889.05</v>
      </c>
      <c r="J18" s="6">
        <v>4313.6499999999996</v>
      </c>
      <c r="K18" s="6">
        <v>4461.8</v>
      </c>
      <c r="L18" s="2">
        <f>K18*('Income Statement'!L6/'Income Statement'!K6)</f>
        <v>4508.526947360795</v>
      </c>
      <c r="M18" s="2">
        <f>L18*('Income Statement'!M6/'Income Statement'!L6)</f>
        <v>4555.7432504994504</v>
      </c>
      <c r="N18" s="2">
        <f>M18*('Income Statement'!N6/'Income Statement'!M6)</f>
        <v>4603.4540342762639</v>
      </c>
      <c r="O18" s="2">
        <f>N18*('Income Statement'!O6/'Income Statement'!N6)</f>
        <v>4651.664477222489</v>
      </c>
      <c r="P18" s="2">
        <f>O18*('Income Statement'!P6/'Income Statement'!O6)</f>
        <v>4700.3798121024156</v>
      </c>
    </row>
    <row r="19" spans="1:16">
      <c r="A19" s="5" t="s">
        <v>51</v>
      </c>
      <c r="B19" s="6">
        <v>2626.94</v>
      </c>
      <c r="C19" s="6">
        <v>2658.31</v>
      </c>
      <c r="D19" s="6">
        <v>3149.86</v>
      </c>
      <c r="E19" s="6">
        <v>3389.81</v>
      </c>
      <c r="F19" s="6">
        <v>3798.6</v>
      </c>
      <c r="G19" s="6">
        <v>6152.98</v>
      </c>
      <c r="H19" s="6">
        <v>6210.64</v>
      </c>
      <c r="I19" s="6">
        <v>5923.41</v>
      </c>
      <c r="J19" s="6">
        <v>6719.27</v>
      </c>
      <c r="K19" s="6">
        <v>5743.69</v>
      </c>
      <c r="L19" s="2">
        <f>K19*('Income Statement'!L6/'Income Statement'!K6)</f>
        <v>5803.8417549613887</v>
      </c>
      <c r="M19" s="2">
        <f>L19*('Income Statement'!M6/'Income Statement'!L6)</f>
        <v>5864.6234592454139</v>
      </c>
      <c r="N19" s="2">
        <f>M19*('Income Statement'!N6/'Income Statement'!M6)</f>
        <v>5926.0417101018047</v>
      </c>
      <c r="O19" s="2">
        <f>N19*('Income Statement'!O6/'Income Statement'!N6)</f>
        <v>5988.1031738710908</v>
      </c>
      <c r="P19" s="2">
        <f>O19*('Income Statement'!P6/'Income Statement'!O6)</f>
        <v>6050.8145867081712</v>
      </c>
    </row>
    <row r="20" spans="1:16">
      <c r="A20" s="9" t="s">
        <v>76</v>
      </c>
      <c r="B20" s="10">
        <f t="shared" ref="B20:P20" si="2">B16-B10</f>
        <v>0</v>
      </c>
      <c r="C20" s="10">
        <f t="shared" si="2"/>
        <v>0</v>
      </c>
      <c r="D20" s="10">
        <f t="shared" si="2"/>
        <v>0</v>
      </c>
      <c r="E20" s="10">
        <f t="shared" si="2"/>
        <v>0</v>
      </c>
      <c r="F20" s="10">
        <f t="shared" si="2"/>
        <v>0</v>
      </c>
      <c r="G20" s="10">
        <f t="shared" si="2"/>
        <v>0</v>
      </c>
      <c r="H20" s="10">
        <f t="shared" si="2"/>
        <v>0</v>
      </c>
      <c r="I20" s="10">
        <f t="shared" si="2"/>
        <v>0</v>
      </c>
      <c r="J20" s="10">
        <f t="shared" si="2"/>
        <v>0</v>
      </c>
      <c r="K20" s="10">
        <f t="shared" si="2"/>
        <v>0</v>
      </c>
      <c r="L20" s="10">
        <f t="shared" si="2"/>
        <v>0</v>
      </c>
      <c r="M20" s="10">
        <f t="shared" si="2"/>
        <v>0</v>
      </c>
      <c r="N20" s="10">
        <f t="shared" si="2"/>
        <v>0</v>
      </c>
      <c r="O20" s="10">
        <f t="shared" si="2"/>
        <v>0</v>
      </c>
      <c r="P20" s="10">
        <f t="shared" si="2"/>
        <v>0</v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1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/>
  <cols>
    <col min="1" max="1" width="30" customWidth="1"/>
    <col min="2" max="16" width="12" customWidth="1"/>
  </cols>
  <sheetData>
    <row r="2" spans="1:16" ht="18">
      <c r="A2" s="25" t="s">
        <v>77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>
      <c r="A4" s="4" t="s">
        <v>24</v>
      </c>
      <c r="B4" s="4">
        <v>42825</v>
      </c>
      <c r="C4" s="4">
        <v>43190</v>
      </c>
      <c r="D4" s="4">
        <v>43555</v>
      </c>
      <c r="E4" s="4">
        <v>43921</v>
      </c>
      <c r="F4" s="4">
        <v>44286</v>
      </c>
      <c r="G4" s="4">
        <v>44651</v>
      </c>
      <c r="H4" s="4">
        <v>45016</v>
      </c>
      <c r="I4" s="4">
        <v>45382</v>
      </c>
      <c r="J4" s="4">
        <v>45747</v>
      </c>
      <c r="K4" s="4">
        <v>46112</v>
      </c>
      <c r="L4" s="4" t="s">
        <v>58</v>
      </c>
      <c r="M4" s="4" t="s">
        <v>59</v>
      </c>
      <c r="N4" s="4" t="s">
        <v>60</v>
      </c>
      <c r="O4" s="4" t="s">
        <v>61</v>
      </c>
      <c r="P4" s="4" t="s">
        <v>62</v>
      </c>
    </row>
    <row r="6" spans="1:16">
      <c r="A6" s="5" t="s">
        <v>78</v>
      </c>
      <c r="B6" s="7">
        <f>'Income Statement'!B29</f>
        <v>1939.43</v>
      </c>
      <c r="C6" s="7">
        <f>'Income Statement'!C29</f>
        <v>2038.93</v>
      </c>
      <c r="D6" s="7">
        <f>'Income Statement'!D29</f>
        <v>2155.92</v>
      </c>
      <c r="E6" s="7">
        <f>'Income Statement'!E29</f>
        <v>2705.17</v>
      </c>
      <c r="F6" s="7">
        <f>'Income Statement'!F29</f>
        <v>3139.29</v>
      </c>
      <c r="G6" s="7">
        <f>'Income Statement'!G29</f>
        <v>3030.57</v>
      </c>
      <c r="H6" s="7">
        <f>'Income Statement'!H29</f>
        <v>4106.45</v>
      </c>
      <c r="I6" s="7">
        <f>'Income Statement'!I29</f>
        <v>5460.23</v>
      </c>
      <c r="J6" s="7">
        <f>'Income Statement'!J29</f>
        <v>3667.23</v>
      </c>
      <c r="K6" s="7">
        <f>'Income Statement'!K29</f>
        <v>4325.3500000000004</v>
      </c>
      <c r="L6" s="2">
        <f>'Income Statement'!L29</f>
        <v>-4500.9436004510717</v>
      </c>
      <c r="M6" s="2">
        <f>'Income Statement'!M29</f>
        <v>-4548.0804857198382</v>
      </c>
      <c r="N6" s="2">
        <f>'Income Statement'!N29</f>
        <v>-4595.7110199098279</v>
      </c>
      <c r="O6" s="2">
        <f>'Income Statement'!O29</f>
        <v>-4643.8403728419962</v>
      </c>
      <c r="P6" s="2">
        <f>'Income Statement'!P29</f>
        <v>-4692.4737684791216</v>
      </c>
    </row>
    <row r="7" spans="1:16">
      <c r="A7" s="5" t="s">
        <v>34</v>
      </c>
      <c r="B7" s="7">
        <f>'Income Statement'!B20</f>
        <v>334.79</v>
      </c>
      <c r="C7" s="7">
        <f>'Income Statement'!C20</f>
        <v>360.47</v>
      </c>
      <c r="D7" s="7">
        <f>'Income Statement'!D20</f>
        <v>622.14</v>
      </c>
      <c r="E7" s="7">
        <f>'Income Statement'!E20</f>
        <v>780.5</v>
      </c>
      <c r="F7" s="7">
        <f>'Income Statement'!F20</f>
        <v>791.27</v>
      </c>
      <c r="G7" s="7">
        <f>'Income Statement'!G20</f>
        <v>816.36</v>
      </c>
      <c r="H7" s="7">
        <f>'Income Statement'!H20</f>
        <v>858.02</v>
      </c>
      <c r="I7" s="7">
        <f>'Income Statement'!I20</f>
        <v>853</v>
      </c>
      <c r="J7" s="7">
        <f>'Income Statement'!J20</f>
        <v>1026.3399999999999</v>
      </c>
      <c r="K7" s="7">
        <f>'Income Statement'!K20</f>
        <v>1228.8499999999999</v>
      </c>
      <c r="L7" s="2">
        <f>'Income Statement'!L20</f>
        <v>197.45646393468397</v>
      </c>
      <c r="M7" s="2">
        <f>'Income Statement'!M20</f>
        <v>199.52435980548157</v>
      </c>
      <c r="N7" s="2">
        <f>'Income Statement'!N20</f>
        <v>201.61391206193125</v>
      </c>
      <c r="O7" s="2">
        <f>'Income Statement'!O20</f>
        <v>203.72534750415676</v>
      </c>
      <c r="P7" s="2">
        <f>'Income Statement'!P20</f>
        <v>205.85889530748423</v>
      </c>
    </row>
    <row r="8" spans="1:16">
      <c r="A8" s="5" t="s">
        <v>79</v>
      </c>
      <c r="B8" s="7">
        <f>'Cash Flow Statement'!B10-'Cash Flow Statement'!B6-'Cash Flow Statement'!B7</f>
        <v>-746.8900000000001</v>
      </c>
      <c r="C8" s="7">
        <f>'Cash Flow Statement'!C10-'Cash Flow Statement'!C6-'Cash Flow Statement'!C7</f>
        <v>-285.96000000000004</v>
      </c>
      <c r="D8" s="7">
        <f>'Cash Flow Statement'!D10-'Cash Flow Statement'!D6-'Cash Flow Statement'!D7</f>
        <v>-308.5200000000001</v>
      </c>
      <c r="E8" s="7">
        <f>'Cash Flow Statement'!E10-'Cash Flow Statement'!E6-'Cash Flow Statement'!E7</f>
        <v>-447.52</v>
      </c>
      <c r="F8" s="7">
        <f>'Cash Flow Statement'!F10-'Cash Flow Statement'!F6-'Cash Flow Statement'!F7</f>
        <v>-247.21000000000004</v>
      </c>
      <c r="G8" s="7">
        <f>'Cash Flow Statement'!G10-'Cash Flow Statement'!G6-'Cash Flow Statement'!G7</f>
        <v>-2860.44</v>
      </c>
      <c r="H8" s="7">
        <f>'Cash Flow Statement'!H10-'Cash Flow Statement'!H6-'Cash Flow Statement'!H7</f>
        <v>-771.03999999999951</v>
      </c>
      <c r="I8" s="7">
        <f>'Cash Flow Statement'!I10-'Cash Flow Statement'!I6-'Cash Flow Statement'!I7</f>
        <v>-209.6299999999992</v>
      </c>
      <c r="J8" s="7">
        <f>'Cash Flow Statement'!J10-'Cash Flow Statement'!J6-'Cash Flow Statement'!J7</f>
        <v>-269.6099999999999</v>
      </c>
      <c r="K8" s="7">
        <f>'Cash Flow Statement'!K10-'Cash Flow Statement'!K6-'Cash Flow Statement'!K7</f>
        <v>1533.98</v>
      </c>
      <c r="L8" s="2">
        <f>-('Income Statement'!L6-'Income Statement'!K6)*'Forecast Assumptions'!$B$10</f>
        <v>-16.769456054077747</v>
      </c>
      <c r="M8" s="2">
        <f>-('Income Statement'!M6-'Income Statement'!L6)*'Forecast Assumptions'!$B$10</f>
        <v>-16.945076989643603</v>
      </c>
      <c r="N8" s="2">
        <f>-('Income Statement'!N6-'Income Statement'!M6)*'Forecast Assumptions'!$B$10</f>
        <v>-17.12253714485443</v>
      </c>
      <c r="O8" s="2">
        <f>-('Income Statement'!O6-'Income Statement'!N6)*'Forecast Assumptions'!$B$10</f>
        <v>-17.301855781245795</v>
      </c>
      <c r="P8" s="2">
        <f>-('Income Statement'!P6-'Income Statement'!O6)*'Forecast Assumptions'!$B$10</f>
        <v>-17.483052362072922</v>
      </c>
    </row>
    <row r="10" spans="1:16">
      <c r="A10" s="9" t="s">
        <v>80</v>
      </c>
      <c r="B10" s="12">
        <v>1527.33</v>
      </c>
      <c r="C10" s="12">
        <v>2113.44</v>
      </c>
      <c r="D10" s="12">
        <v>2469.54</v>
      </c>
      <c r="E10" s="12">
        <v>3038.15</v>
      </c>
      <c r="F10" s="12">
        <v>3683.35</v>
      </c>
      <c r="G10" s="12">
        <v>986.49</v>
      </c>
      <c r="H10" s="12">
        <v>4193.43</v>
      </c>
      <c r="I10" s="12">
        <v>6103.6</v>
      </c>
      <c r="J10" s="12">
        <v>4423.96</v>
      </c>
      <c r="K10" s="12">
        <v>7088.18</v>
      </c>
      <c r="L10" s="10">
        <f>SUM(L6:L8)</f>
        <v>-4320.2565925704657</v>
      </c>
      <c r="M10" s="10">
        <f>SUM(M6:M8)</f>
        <v>-4365.5012029040008</v>
      </c>
      <c r="N10" s="10">
        <f>SUM(N6:N8)</f>
        <v>-4411.2196449927515</v>
      </c>
      <c r="O10" s="10">
        <f>SUM(O6:O8)</f>
        <v>-4457.4168811190848</v>
      </c>
      <c r="P10" s="10">
        <f>SUM(P6:P8)</f>
        <v>-4504.0979255337106</v>
      </c>
    </row>
    <row r="12" spans="1:16">
      <c r="A12" s="5" t="s">
        <v>81</v>
      </c>
      <c r="B12" s="6">
        <v>-681.11</v>
      </c>
      <c r="C12" s="6">
        <v>-1556.14</v>
      </c>
      <c r="D12" s="6">
        <v>-917.79</v>
      </c>
      <c r="E12" s="6">
        <v>-517.91</v>
      </c>
      <c r="F12" s="6">
        <v>-540.54</v>
      </c>
      <c r="G12" s="6">
        <v>-316.75</v>
      </c>
      <c r="H12" s="6">
        <v>-1282.3399999999999</v>
      </c>
      <c r="I12" s="6">
        <v>-2548.48</v>
      </c>
      <c r="J12" s="6">
        <v>-940.91</v>
      </c>
      <c r="K12" s="6">
        <v>-1328.23</v>
      </c>
      <c r="L12" s="2">
        <f>-'Income Statement'!L6*'Forecast Assumptions'!$B$9</f>
        <v>-197.45646393468397</v>
      </c>
      <c r="M12" s="2">
        <f>-'Income Statement'!M6*'Forecast Assumptions'!$B$9</f>
        <v>-199.52435980548157</v>
      </c>
      <c r="N12" s="2">
        <f>-'Income Statement'!N6*'Forecast Assumptions'!$B$9</f>
        <v>-201.61391206193125</v>
      </c>
      <c r="O12" s="2">
        <f>-'Income Statement'!O6*'Forecast Assumptions'!$B$9</f>
        <v>-203.72534750415676</v>
      </c>
      <c r="P12" s="2">
        <f>-'Income Statement'!P6*'Forecast Assumptions'!$B$9</f>
        <v>-205.85889530748423</v>
      </c>
    </row>
    <row r="13" spans="1:16">
      <c r="A13" s="5" t="s">
        <v>82</v>
      </c>
      <c r="B13" s="6">
        <v>-756.43</v>
      </c>
      <c r="C13" s="6">
        <v>-1379.14</v>
      </c>
      <c r="D13" s="6">
        <v>-1117.46</v>
      </c>
      <c r="E13" s="6">
        <v>-2871.46</v>
      </c>
      <c r="F13" s="6">
        <v>-650.4</v>
      </c>
      <c r="G13" s="6">
        <v>-1807.61</v>
      </c>
      <c r="H13" s="6">
        <v>-2140.0500000000002</v>
      </c>
      <c r="I13" s="6">
        <v>-2982.5</v>
      </c>
      <c r="J13" s="6">
        <v>-3752.58</v>
      </c>
      <c r="K13" s="6">
        <v>-2376.5100000000002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5" spans="1:16">
      <c r="A15" s="9" t="s">
        <v>56</v>
      </c>
      <c r="B15" s="12">
        <v>89.79</v>
      </c>
      <c r="C15" s="12">
        <v>-821.84</v>
      </c>
      <c r="D15" s="12">
        <v>434.29</v>
      </c>
      <c r="E15" s="12">
        <v>-351.22</v>
      </c>
      <c r="F15" s="12">
        <v>2492.41</v>
      </c>
      <c r="G15" s="12">
        <v>-1137.8699999999999</v>
      </c>
      <c r="H15" s="12">
        <v>771.04</v>
      </c>
      <c r="I15" s="12">
        <v>572.62</v>
      </c>
      <c r="J15" s="12">
        <v>-269.52999999999997</v>
      </c>
      <c r="K15" s="12">
        <v>3383.44</v>
      </c>
      <c r="L15" s="10">
        <f>SUM(L10,L12,L13)</f>
        <v>-4517.7130565051493</v>
      </c>
      <c r="M15" s="10">
        <f>SUM(M10,M12,M13)</f>
        <v>-4565.0255627094821</v>
      </c>
      <c r="N15" s="10">
        <f>SUM(N10,N12,N13)</f>
        <v>-4612.8335570546824</v>
      </c>
      <c r="O15" s="10">
        <f>SUM(O10,O12,O13)</f>
        <v>-4661.1422286232419</v>
      </c>
      <c r="P15" s="10">
        <f>SUM(P10,P12,P13)</f>
        <v>-4709.9568208411947</v>
      </c>
    </row>
  </sheetData>
  <mergeCells count="1"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7"/>
  <sheetViews>
    <sheetView showGridLines="0" workbookViewId="0">
      <selection activeCell="E13" sqref="E13"/>
    </sheetView>
  </sheetViews>
  <sheetFormatPr defaultRowHeight="14.4"/>
  <cols>
    <col min="1" max="1" width="30" customWidth="1"/>
    <col min="2" max="2" width="18" customWidth="1"/>
    <col min="3" max="3" width="45" customWidth="1"/>
    <col min="4" max="4" width="14" customWidth="1"/>
  </cols>
  <sheetData>
    <row r="2" spans="1:6" ht="18">
      <c r="A2" s="25" t="s">
        <v>83</v>
      </c>
      <c r="B2" s="24"/>
      <c r="C2" s="24"/>
      <c r="D2" s="24"/>
      <c r="E2" s="24"/>
      <c r="F2" s="24"/>
    </row>
    <row r="4" spans="1:6">
      <c r="A4" s="4" t="s">
        <v>84</v>
      </c>
      <c r="B4" s="4" t="s">
        <v>85</v>
      </c>
      <c r="C4" s="4" t="s">
        <v>86</v>
      </c>
      <c r="D4" s="4" t="s">
        <v>87</v>
      </c>
    </row>
    <row r="5" spans="1:6">
      <c r="A5" s="1" t="s">
        <v>88</v>
      </c>
      <c r="B5" s="15">
        <v>5</v>
      </c>
      <c r="C5" t="s">
        <v>89</v>
      </c>
      <c r="D5" t="s">
        <v>90</v>
      </c>
    </row>
    <row r="6" spans="1:6">
      <c r="A6" s="1" t="s">
        <v>91</v>
      </c>
      <c r="B6" s="16">
        <f>IFERROR(('Historical Data'!L6/'Historical Data'!I6)^(1/3)-1,0.08)</f>
        <v>1.047266739002084E-2</v>
      </c>
      <c r="C6" t="s">
        <v>92</v>
      </c>
      <c r="D6" t="s">
        <v>90</v>
      </c>
    </row>
    <row r="7" spans="1:6">
      <c r="A7" s="1" t="s">
        <v>93</v>
      </c>
      <c r="B7" s="16">
        <f>IFERROR('Historical Data'!L20/'Historical Data'!L6,0.18)</f>
        <v>7.4129780229847855E-2</v>
      </c>
      <c r="C7" t="s">
        <v>94</v>
      </c>
      <c r="D7" t="s">
        <v>90</v>
      </c>
    </row>
    <row r="8" spans="1:6">
      <c r="A8" s="1" t="s">
        <v>95</v>
      </c>
      <c r="B8" s="16">
        <f>IFERROR('Historical Data'!L19/'Historical Data'!L18,0.25)</f>
        <v>2.6886402486402488</v>
      </c>
      <c r="C8" t="s">
        <v>96</v>
      </c>
      <c r="D8" t="s">
        <v>90</v>
      </c>
    </row>
    <row r="9" spans="1:6">
      <c r="A9" s="1" t="s">
        <v>97</v>
      </c>
      <c r="B9" s="16">
        <f>IFERROR('Historical Data'!L16/'Historical Data'!L6,0.03)</f>
        <v>5.4915840301442741E-3</v>
      </c>
      <c r="C9" t="s">
        <v>98</v>
      </c>
      <c r="D9" t="s">
        <v>90</v>
      </c>
    </row>
    <row r="10" spans="1:6">
      <c r="A10" s="1" t="s">
        <v>99</v>
      </c>
      <c r="B10" s="16">
        <v>4.4999999999999998E-2</v>
      </c>
      <c r="C10" t="s">
        <v>100</v>
      </c>
      <c r="D10" t="s">
        <v>90</v>
      </c>
    </row>
    <row r="11" spans="1:6">
      <c r="A11" s="1" t="s">
        <v>101</v>
      </c>
      <c r="B11" s="16">
        <v>0.1</v>
      </c>
      <c r="C11" t="s">
        <v>100</v>
      </c>
      <c r="D11" t="s">
        <v>90</v>
      </c>
    </row>
    <row r="12" spans="1:6">
      <c r="A12" s="1" t="s">
        <v>102</v>
      </c>
      <c r="B12" s="16">
        <v>0.11</v>
      </c>
      <c r="C12" t="s">
        <v>103</v>
      </c>
      <c r="D12" t="s">
        <v>90</v>
      </c>
    </row>
    <row r="13" spans="1:6">
      <c r="A13" s="1" t="s">
        <v>104</v>
      </c>
      <c r="B13" s="16">
        <v>4.4999999999999998E-2</v>
      </c>
      <c r="C13" t="s">
        <v>105</v>
      </c>
      <c r="D13" t="s">
        <v>90</v>
      </c>
    </row>
    <row r="14" spans="1:6">
      <c r="A14" s="1" t="s">
        <v>106</v>
      </c>
      <c r="B14" s="17">
        <v>35</v>
      </c>
      <c r="C14" t="s">
        <v>107</v>
      </c>
      <c r="D14" t="s">
        <v>90</v>
      </c>
    </row>
    <row r="15" spans="1:6">
      <c r="A15" s="1" t="s">
        <v>108</v>
      </c>
      <c r="B15" s="7">
        <f>'Historical Data'!L35</f>
        <v>4461.8</v>
      </c>
      <c r="C15" t="s">
        <v>109</v>
      </c>
      <c r="D15" t="s">
        <v>110</v>
      </c>
    </row>
    <row r="16" spans="1:6">
      <c r="A16" s="1" t="s">
        <v>111</v>
      </c>
      <c r="B16" s="14">
        <v>2684.3</v>
      </c>
      <c r="C16" t="s">
        <v>112</v>
      </c>
      <c r="D16" t="s">
        <v>3</v>
      </c>
    </row>
    <row r="17" spans="1:4">
      <c r="A17" s="1" t="s">
        <v>113</v>
      </c>
      <c r="B17" s="3">
        <v>95.919759341355288</v>
      </c>
      <c r="C17" t="s">
        <v>114</v>
      </c>
      <c r="D17" t="s">
        <v>3</v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B4" sqref="B4:P4"/>
    </sheetView>
  </sheetViews>
  <sheetFormatPr defaultRowHeight="14.4"/>
  <cols>
    <col min="1" max="1" width="26" customWidth="1"/>
    <col min="2" max="16" width="12" customWidth="1"/>
  </cols>
  <sheetData>
    <row r="2" spans="1:16" ht="18">
      <c r="A2" s="25" t="s">
        <v>115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>
      <c r="A4" s="4" t="s">
        <v>24</v>
      </c>
      <c r="B4" s="26">
        <v>42825</v>
      </c>
      <c r="C4" s="26">
        <v>43190</v>
      </c>
      <c r="D4" s="26">
        <v>43555</v>
      </c>
      <c r="E4" s="26">
        <v>43921</v>
      </c>
      <c r="F4" s="26">
        <v>44286</v>
      </c>
      <c r="G4" s="26">
        <v>44651</v>
      </c>
      <c r="H4" s="26">
        <v>45016</v>
      </c>
      <c r="I4" s="26">
        <v>45382</v>
      </c>
      <c r="J4" s="26">
        <v>45747</v>
      </c>
      <c r="K4" s="26">
        <v>46112</v>
      </c>
      <c r="L4" s="26" t="s">
        <v>58</v>
      </c>
      <c r="M4" s="26" t="s">
        <v>59</v>
      </c>
      <c r="N4" s="26" t="s">
        <v>60</v>
      </c>
      <c r="O4" s="26" t="s">
        <v>61</v>
      </c>
      <c r="P4" s="26" t="s">
        <v>62</v>
      </c>
    </row>
    <row r="6" spans="1:16">
      <c r="A6" t="s">
        <v>116</v>
      </c>
      <c r="B6" s="2">
        <f>'Income Statement'!B6</f>
        <v>15061.99</v>
      </c>
      <c r="C6" s="2">
        <f>'Income Statement'!C6</f>
        <v>16824.55</v>
      </c>
      <c r="D6" s="2">
        <f>'Income Statement'!D6</f>
        <v>19240.13</v>
      </c>
      <c r="E6" s="2">
        <f>'Income Statement'!E6</f>
        <v>20211.25</v>
      </c>
      <c r="F6" s="2">
        <f>'Income Statement'!F6</f>
        <v>21712.79</v>
      </c>
      <c r="G6" s="2">
        <f>'Income Statement'!G6</f>
        <v>29101.279999999999</v>
      </c>
      <c r="H6" s="2">
        <f>'Income Statement'!H6</f>
        <v>34488.589999999997</v>
      </c>
      <c r="I6" s="2">
        <f>'Income Statement'!I6</f>
        <v>35494.730000000003</v>
      </c>
      <c r="J6" s="2">
        <f>'Income Statement'!J6</f>
        <v>33905.620000000003</v>
      </c>
      <c r="K6" s="2">
        <f>'Income Statement'!K6</f>
        <v>35583.54</v>
      </c>
      <c r="L6" s="2">
        <f>'Income Statement'!L6</f>
        <v>35956.194578979506</v>
      </c>
      <c r="M6" s="2">
        <f>'Income Statement'!M6</f>
        <v>36332.751845416031</v>
      </c>
      <c r="N6" s="2">
        <f>'Income Statement'!N6</f>
        <v>36713.25267085724</v>
      </c>
      <c r="O6" s="2">
        <f>'Income Statement'!O6</f>
        <v>37097.738354884925</v>
      </c>
      <c r="P6" s="2">
        <f>'Income Statement'!P6</f>
        <v>37486.250629597656</v>
      </c>
    </row>
    <row r="7" spans="1:16">
      <c r="A7" t="s">
        <v>66</v>
      </c>
      <c r="B7" s="2">
        <f>'Income Statement'!B18</f>
        <v>2271.3499999999976</v>
      </c>
      <c r="C7" s="2">
        <f>'Income Statement'!C18</f>
        <v>3848.7399999999989</v>
      </c>
      <c r="D7" s="2">
        <f>'Income Statement'!D18</f>
        <v>3800.56</v>
      </c>
      <c r="E7" s="2">
        <f>'Income Statement'!E18</f>
        <v>4463.9700000000012</v>
      </c>
      <c r="F7" s="2">
        <f>'Income Statement'!F18</f>
        <v>5461.9700000000012</v>
      </c>
      <c r="G7" s="2">
        <f>'Income Statement'!G18</f>
        <v>2970.0299999999984</v>
      </c>
      <c r="H7" s="2">
        <f>'Income Statement'!H18</f>
        <v>6498.3999999999978</v>
      </c>
      <c r="I7" s="2">
        <f>'Income Statement'!I18</f>
        <v>9165.5800000000017</v>
      </c>
      <c r="J7" s="2">
        <f>'Income Statement'!J18</f>
        <v>6622.5500000000029</v>
      </c>
      <c r="K7" s="2">
        <f>'Income Statement'!K18</f>
        <v>9135.9400000000041</v>
      </c>
      <c r="L7" s="2">
        <f>'Income Statement'!L18</f>
        <v>2862.8812659760815</v>
      </c>
      <c r="M7" s="2">
        <f>'Income Statement'!M18</f>
        <v>2892.8632692517713</v>
      </c>
      <c r="N7" s="2">
        <f>'Income Statement'!N18</f>
        <v>2923.1592640754534</v>
      </c>
      <c r="O7" s="2">
        <f>'Income Statement'!O18</f>
        <v>2953.7725387761734</v>
      </c>
      <c r="P7" s="2">
        <f>'Income Statement'!P18</f>
        <v>2984.706416120554</v>
      </c>
    </row>
    <row r="8" spans="1:16">
      <c r="A8" t="s">
        <v>68</v>
      </c>
      <c r="B8" s="2">
        <f>'Income Statement'!B21</f>
        <v>1936.5599999999977</v>
      </c>
      <c r="C8" s="2">
        <f>'Income Statement'!C21</f>
        <v>3488.2699999999986</v>
      </c>
      <c r="D8" s="2">
        <f>'Income Statement'!D21</f>
        <v>3178.42</v>
      </c>
      <c r="E8" s="2">
        <f>'Income Statement'!E21</f>
        <v>3683.4700000000012</v>
      </c>
      <c r="F8" s="2">
        <f>'Income Statement'!F21</f>
        <v>4670.7000000000007</v>
      </c>
      <c r="G8" s="2">
        <f>'Income Statement'!G21</f>
        <v>2153.6699999999983</v>
      </c>
      <c r="H8" s="2">
        <f>'Income Statement'!H21</f>
        <v>5640.3799999999974</v>
      </c>
      <c r="I8" s="2">
        <f>'Income Statement'!I21</f>
        <v>8312.5800000000017</v>
      </c>
      <c r="J8" s="2">
        <f>'Income Statement'!J21</f>
        <v>5596.2100000000028</v>
      </c>
      <c r="K8" s="2">
        <f>'Income Statement'!K21</f>
        <v>7907.0900000000038</v>
      </c>
      <c r="L8" s="2">
        <f>'Income Statement'!L21</f>
        <v>2665.4248020413975</v>
      </c>
      <c r="M8" s="2">
        <f>'Income Statement'!M21</f>
        <v>2693.3389094462896</v>
      </c>
      <c r="N8" s="2">
        <f>'Income Statement'!N21</f>
        <v>2721.545352013522</v>
      </c>
      <c r="O8" s="2">
        <f>'Income Statement'!O21</f>
        <v>2750.0471912720168</v>
      </c>
      <c r="P8" s="2">
        <f>'Income Statement'!P21</f>
        <v>2778.8475208130699</v>
      </c>
    </row>
    <row r="9" spans="1:16">
      <c r="A9" s="18" t="s">
        <v>38</v>
      </c>
      <c r="B9" s="10">
        <f>'Income Statement'!B29</f>
        <v>1939.43</v>
      </c>
      <c r="C9" s="10">
        <f>'Income Statement'!C29</f>
        <v>2038.93</v>
      </c>
      <c r="D9" s="10">
        <f>'Income Statement'!D29</f>
        <v>2155.92</v>
      </c>
      <c r="E9" s="10">
        <f>'Income Statement'!E29</f>
        <v>2705.17</v>
      </c>
      <c r="F9" s="10">
        <f>'Income Statement'!F29</f>
        <v>3139.29</v>
      </c>
      <c r="G9" s="10">
        <f>'Income Statement'!G29</f>
        <v>3030.57</v>
      </c>
      <c r="H9" s="10">
        <f>'Income Statement'!H29</f>
        <v>4106.45</v>
      </c>
      <c r="I9" s="10">
        <f>'Income Statement'!I29</f>
        <v>5460.23</v>
      </c>
      <c r="J9" s="10">
        <f>'Income Statement'!J29</f>
        <v>3667.23</v>
      </c>
      <c r="K9" s="10">
        <f>'Income Statement'!K29</f>
        <v>4325.3500000000004</v>
      </c>
      <c r="L9" s="10">
        <f>'Income Statement'!L29</f>
        <v>-4500.9436004510717</v>
      </c>
      <c r="M9" s="10">
        <f>'Income Statement'!M29</f>
        <v>-4548.0804857198382</v>
      </c>
      <c r="N9" s="10">
        <f>'Income Statement'!N29</f>
        <v>-4595.7110199098279</v>
      </c>
      <c r="O9" s="10">
        <f>'Income Statement'!O29</f>
        <v>-4643.8403728419962</v>
      </c>
      <c r="P9" s="10">
        <f>'Income Statement'!P29</f>
        <v>-4692.4737684791216</v>
      </c>
    </row>
    <row r="11" spans="1:16">
      <c r="A11" t="s">
        <v>49</v>
      </c>
      <c r="B11" s="2">
        <f>'Balance Sheet'!B16</f>
        <v>12405.19</v>
      </c>
      <c r="C11" s="2">
        <f>'Balance Sheet'!C16</f>
        <v>13763.48</v>
      </c>
      <c r="D11" s="2">
        <f>'Balance Sheet'!D16</f>
        <v>16248.84</v>
      </c>
      <c r="E11" s="2">
        <f>'Balance Sheet'!E16</f>
        <v>16137.97</v>
      </c>
      <c r="F11" s="2">
        <f>'Balance Sheet'!F16</f>
        <v>20355.34</v>
      </c>
      <c r="G11" s="2">
        <f>'Balance Sheet'!G16</f>
        <v>22958.43</v>
      </c>
      <c r="H11" s="2">
        <f>'Balance Sheet'!H16</f>
        <v>25779.33</v>
      </c>
      <c r="I11" s="2">
        <f>'Balance Sheet'!I16</f>
        <v>29900.77</v>
      </c>
      <c r="J11" s="2">
        <f>'Balance Sheet'!J16</f>
        <v>30355.25</v>
      </c>
      <c r="K11" s="2">
        <f>'Balance Sheet'!K16</f>
        <v>34518.75</v>
      </c>
      <c r="L11" s="2">
        <f>'Balance Sheet'!L16</f>
        <v>30017.806399548925</v>
      </c>
      <c r="M11" s="2">
        <f>'Balance Sheet'!M16</f>
        <v>25469.72591382909</v>
      </c>
      <c r="N11" s="2">
        <f>'Balance Sheet'!N16</f>
        <v>20874.014893919259</v>
      </c>
      <c r="O11" s="2">
        <f>'Balance Sheet'!O16</f>
        <v>16230.174521077264</v>
      </c>
      <c r="P11" s="2">
        <f>'Balance Sheet'!P16</f>
        <v>11537.700752598143</v>
      </c>
    </row>
    <row r="12" spans="1:16">
      <c r="A12" t="s">
        <v>44</v>
      </c>
      <c r="B12" s="2">
        <f>'Balance Sheet'!B10</f>
        <v>12405.19</v>
      </c>
      <c r="C12" s="2">
        <f>'Balance Sheet'!C10</f>
        <v>13763.48</v>
      </c>
      <c r="D12" s="2">
        <f>'Balance Sheet'!D10</f>
        <v>16248.84</v>
      </c>
      <c r="E12" s="2">
        <f>'Balance Sheet'!E10</f>
        <v>16137.97</v>
      </c>
      <c r="F12" s="2">
        <f>'Balance Sheet'!F10</f>
        <v>20355.34</v>
      </c>
      <c r="G12" s="2">
        <f>'Balance Sheet'!G10</f>
        <v>22958.43</v>
      </c>
      <c r="H12" s="2">
        <f>'Balance Sheet'!H10</f>
        <v>25779.33</v>
      </c>
      <c r="I12" s="2">
        <f>'Balance Sheet'!I10</f>
        <v>29900.77</v>
      </c>
      <c r="J12" s="2">
        <f>'Balance Sheet'!J10</f>
        <v>30355.25</v>
      </c>
      <c r="K12" s="2">
        <f>'Balance Sheet'!K10</f>
        <v>34518.75</v>
      </c>
      <c r="L12" s="2">
        <f>'Balance Sheet'!L10</f>
        <v>30017.806399548925</v>
      </c>
      <c r="M12" s="2">
        <f>'Balance Sheet'!M10</f>
        <v>25469.72591382909</v>
      </c>
      <c r="N12" s="2">
        <f>'Balance Sheet'!N10</f>
        <v>20874.014893919259</v>
      </c>
      <c r="O12" s="2">
        <f>'Balance Sheet'!O10</f>
        <v>16230.174521077264</v>
      </c>
      <c r="P12" s="2">
        <f>'Balance Sheet'!P10</f>
        <v>11537.700752598143</v>
      </c>
    </row>
    <row r="13" spans="1:16">
      <c r="A13" s="18" t="s">
        <v>76</v>
      </c>
      <c r="B13" s="10">
        <f>'Balance Sheet'!B20</f>
        <v>0</v>
      </c>
      <c r="C13" s="10">
        <f>'Balance Sheet'!C20</f>
        <v>0</v>
      </c>
      <c r="D13" s="10">
        <f>'Balance Sheet'!D20</f>
        <v>0</v>
      </c>
      <c r="E13" s="10">
        <f>'Balance Sheet'!E20</f>
        <v>0</v>
      </c>
      <c r="F13" s="10">
        <f>'Balance Sheet'!F20</f>
        <v>0</v>
      </c>
      <c r="G13" s="10">
        <f>'Balance Sheet'!G20</f>
        <v>0</v>
      </c>
      <c r="H13" s="10">
        <f>'Balance Sheet'!H20</f>
        <v>0</v>
      </c>
      <c r="I13" s="10">
        <f>'Balance Sheet'!I20</f>
        <v>0</v>
      </c>
      <c r="J13" s="10">
        <f>'Balance Sheet'!J20</f>
        <v>0</v>
      </c>
      <c r="K13" s="10">
        <f>'Balance Sheet'!K20</f>
        <v>0</v>
      </c>
      <c r="L13" s="10">
        <f>'Balance Sheet'!L20</f>
        <v>0</v>
      </c>
      <c r="M13" s="10">
        <f>'Balance Sheet'!M20</f>
        <v>0</v>
      </c>
      <c r="N13" s="10">
        <f>'Balance Sheet'!N20</f>
        <v>0</v>
      </c>
      <c r="O13" s="10">
        <f>'Balance Sheet'!O20</f>
        <v>0</v>
      </c>
      <c r="P13" s="10">
        <f>'Balance Sheet'!P20</f>
        <v>0</v>
      </c>
    </row>
    <row r="15" spans="1:16">
      <c r="A15" t="s">
        <v>53</v>
      </c>
      <c r="B15" s="2">
        <f>'Cash Flow Statement'!B10</f>
        <v>1527.33</v>
      </c>
      <c r="C15" s="2">
        <f>'Cash Flow Statement'!C10</f>
        <v>2113.44</v>
      </c>
      <c r="D15" s="2">
        <f>'Cash Flow Statement'!D10</f>
        <v>2469.54</v>
      </c>
      <c r="E15" s="2">
        <f>'Cash Flow Statement'!E10</f>
        <v>3038.15</v>
      </c>
      <c r="F15" s="2">
        <f>'Cash Flow Statement'!F10</f>
        <v>3683.35</v>
      </c>
      <c r="G15" s="2">
        <f>'Cash Flow Statement'!G10</f>
        <v>986.49</v>
      </c>
      <c r="H15" s="2">
        <f>'Cash Flow Statement'!H10</f>
        <v>4193.43</v>
      </c>
      <c r="I15" s="2">
        <f>'Cash Flow Statement'!I10</f>
        <v>6103.6</v>
      </c>
      <c r="J15" s="2">
        <f>'Cash Flow Statement'!J10</f>
        <v>4423.96</v>
      </c>
      <c r="K15" s="2">
        <f>'Cash Flow Statement'!K10</f>
        <v>7088.18</v>
      </c>
      <c r="L15" s="2">
        <f>'Cash Flow Statement'!L10</f>
        <v>-4320.2565925704657</v>
      </c>
      <c r="M15" s="2">
        <f>'Cash Flow Statement'!M10</f>
        <v>-4365.5012029040008</v>
      </c>
      <c r="N15" s="2">
        <f>'Cash Flow Statement'!N10</f>
        <v>-4411.2196449927515</v>
      </c>
      <c r="O15" s="2">
        <f>'Cash Flow Statement'!O10</f>
        <v>-4457.4168811190848</v>
      </c>
      <c r="P15" s="2">
        <f>'Cash Flow Statement'!P10</f>
        <v>-4504.0979255337106</v>
      </c>
    </row>
    <row r="16" spans="1:16">
      <c r="A16" t="s">
        <v>54</v>
      </c>
      <c r="B16" s="2">
        <f>'Cash Flow Statement'!B12</f>
        <v>-681.11</v>
      </c>
      <c r="C16" s="2">
        <f>'Cash Flow Statement'!C12</f>
        <v>-1556.14</v>
      </c>
      <c r="D16" s="2">
        <f>'Cash Flow Statement'!D12</f>
        <v>-917.79</v>
      </c>
      <c r="E16" s="2">
        <f>'Cash Flow Statement'!E12</f>
        <v>-517.91</v>
      </c>
      <c r="F16" s="2">
        <f>'Cash Flow Statement'!F12</f>
        <v>-540.54</v>
      </c>
      <c r="G16" s="2">
        <f>'Cash Flow Statement'!G12</f>
        <v>-316.75</v>
      </c>
      <c r="H16" s="2">
        <f>'Cash Flow Statement'!H12</f>
        <v>-1282.3399999999999</v>
      </c>
      <c r="I16" s="2">
        <f>'Cash Flow Statement'!I12</f>
        <v>-2548.48</v>
      </c>
      <c r="J16" s="2">
        <f>'Cash Flow Statement'!J12</f>
        <v>-940.91</v>
      </c>
      <c r="K16" s="2">
        <f>'Cash Flow Statement'!K12</f>
        <v>-1328.23</v>
      </c>
      <c r="L16" s="2">
        <f>'Cash Flow Statement'!L12</f>
        <v>-197.45646393468397</v>
      </c>
      <c r="M16" s="2">
        <f>'Cash Flow Statement'!M12</f>
        <v>-199.52435980548157</v>
      </c>
      <c r="N16" s="2">
        <f>'Cash Flow Statement'!N12</f>
        <v>-201.61391206193125</v>
      </c>
      <c r="O16" s="2">
        <f>'Cash Flow Statement'!O12</f>
        <v>-203.72534750415676</v>
      </c>
      <c r="P16" s="2">
        <f>'Cash Flow Statement'!P12</f>
        <v>-205.85889530748423</v>
      </c>
    </row>
    <row r="17" spans="1:16">
      <c r="A17" t="s">
        <v>55</v>
      </c>
      <c r="B17" s="2">
        <f>'Cash Flow Statement'!B13</f>
        <v>-756.43</v>
      </c>
      <c r="C17" s="2">
        <f>'Cash Flow Statement'!C13</f>
        <v>-1379.14</v>
      </c>
      <c r="D17" s="2">
        <f>'Cash Flow Statement'!D13</f>
        <v>-1117.46</v>
      </c>
      <c r="E17" s="2">
        <f>'Cash Flow Statement'!E13</f>
        <v>-2871.46</v>
      </c>
      <c r="F17" s="2">
        <f>'Cash Flow Statement'!F13</f>
        <v>-650.4</v>
      </c>
      <c r="G17" s="2">
        <f>'Cash Flow Statement'!G13</f>
        <v>-1807.61</v>
      </c>
      <c r="H17" s="2">
        <f>'Cash Flow Statement'!H13</f>
        <v>-2140.0500000000002</v>
      </c>
      <c r="I17" s="2">
        <f>'Cash Flow Statement'!I13</f>
        <v>-2982.5</v>
      </c>
      <c r="J17" s="2">
        <f>'Cash Flow Statement'!J13</f>
        <v>-3752.58</v>
      </c>
      <c r="K17" s="2">
        <f>'Cash Flow Statement'!K13</f>
        <v>-2376.5100000000002</v>
      </c>
      <c r="L17" s="2">
        <f>'Cash Flow Statement'!L13</f>
        <v>0</v>
      </c>
      <c r="M17" s="2">
        <f>'Cash Flow Statement'!M13</f>
        <v>0</v>
      </c>
      <c r="N17" s="2">
        <f>'Cash Flow Statement'!N13</f>
        <v>0</v>
      </c>
      <c r="O17" s="2">
        <f>'Cash Flow Statement'!O13</f>
        <v>0</v>
      </c>
      <c r="P17" s="2">
        <f>'Cash Flow Statement'!P13</f>
        <v>0</v>
      </c>
    </row>
    <row r="18" spans="1:16">
      <c r="A18" s="18" t="s">
        <v>56</v>
      </c>
      <c r="B18" s="10">
        <f>'Cash Flow Statement'!B15</f>
        <v>89.79</v>
      </c>
      <c r="C18" s="10">
        <f>'Cash Flow Statement'!C15</f>
        <v>-821.84</v>
      </c>
      <c r="D18" s="10">
        <f>'Cash Flow Statement'!D15</f>
        <v>434.29</v>
      </c>
      <c r="E18" s="10">
        <f>'Cash Flow Statement'!E15</f>
        <v>-351.22</v>
      </c>
      <c r="F18" s="10">
        <f>'Cash Flow Statement'!F15</f>
        <v>2492.41</v>
      </c>
      <c r="G18" s="10">
        <f>'Cash Flow Statement'!G15</f>
        <v>-1137.8699999999999</v>
      </c>
      <c r="H18" s="10">
        <f>'Cash Flow Statement'!H15</f>
        <v>771.04</v>
      </c>
      <c r="I18" s="10">
        <f>'Cash Flow Statement'!I15</f>
        <v>572.62</v>
      </c>
      <c r="J18" s="10">
        <f>'Cash Flow Statement'!J15</f>
        <v>-269.52999999999997</v>
      </c>
      <c r="K18" s="10">
        <f>'Cash Flow Statement'!K15</f>
        <v>3383.44</v>
      </c>
      <c r="L18" s="10">
        <f>'Cash Flow Statement'!L15</f>
        <v>-4517.7130565051493</v>
      </c>
      <c r="M18" s="10">
        <f>'Cash Flow Statement'!M15</f>
        <v>-4565.0255627094821</v>
      </c>
      <c r="N18" s="10">
        <f>'Cash Flow Statement'!N15</f>
        <v>-4612.8335570546824</v>
      </c>
      <c r="O18" s="10">
        <f>'Cash Flow Statement'!O15</f>
        <v>-4661.1422286232419</v>
      </c>
      <c r="P18" s="10">
        <f>'Cash Flow Statement'!P15</f>
        <v>-4709.9568208411947</v>
      </c>
    </row>
  </sheetData>
  <mergeCells count="1"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9"/>
  <sheetViews>
    <sheetView showGridLines="0" workbookViewId="0"/>
  </sheetViews>
  <sheetFormatPr defaultRowHeight="14.4"/>
  <cols>
    <col min="1" max="1" width="28" customWidth="1"/>
    <col min="2" max="9" width="15" customWidth="1"/>
  </cols>
  <sheetData>
    <row r="2" spans="1:9" ht="18">
      <c r="A2" s="25" t="s">
        <v>117</v>
      </c>
      <c r="B2" s="24"/>
      <c r="C2" s="24"/>
      <c r="D2" s="24"/>
      <c r="E2" s="24"/>
      <c r="F2" s="24"/>
      <c r="G2" s="24"/>
      <c r="H2" s="24"/>
      <c r="I2" s="24"/>
    </row>
    <row r="4" spans="1:9">
      <c r="A4" s="4" t="s">
        <v>24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</row>
    <row r="5" spans="1:9">
      <c r="A5" t="s">
        <v>116</v>
      </c>
      <c r="B5" s="2">
        <f>'Income Statement'!L6</f>
        <v>35956.194578979506</v>
      </c>
      <c r="C5" s="2">
        <f>'Income Statement'!M6</f>
        <v>36332.751845416031</v>
      </c>
      <c r="D5" s="2">
        <f>'Income Statement'!N6</f>
        <v>36713.25267085724</v>
      </c>
      <c r="E5" s="2">
        <f>'Income Statement'!O6</f>
        <v>37097.738354884925</v>
      </c>
      <c r="F5" s="2">
        <f>'Income Statement'!P6</f>
        <v>37486.250629597656</v>
      </c>
    </row>
    <row r="6" spans="1:9">
      <c r="A6" t="s">
        <v>68</v>
      </c>
      <c r="B6" s="2">
        <f>'Income Statement'!L21</f>
        <v>2665.4248020413975</v>
      </c>
      <c r="C6" s="2">
        <f>'Income Statement'!M21</f>
        <v>2693.3389094462896</v>
      </c>
      <c r="D6" s="2">
        <f>'Income Statement'!N21</f>
        <v>2721.545352013522</v>
      </c>
      <c r="E6" s="2">
        <f>'Income Statement'!O21</f>
        <v>2750.0471912720168</v>
      </c>
      <c r="F6" s="2">
        <f>'Income Statement'!P21</f>
        <v>2778.8475208130699</v>
      </c>
    </row>
    <row r="7" spans="1:9">
      <c r="A7" t="s">
        <v>118</v>
      </c>
      <c r="B7" s="2">
        <f>'Income Statement'!L27</f>
        <v>7166.3684024924687</v>
      </c>
      <c r="C7" s="2">
        <f>'Income Statement'!M27</f>
        <v>7241.4193951661282</v>
      </c>
      <c r="D7" s="2">
        <f>'Income Statement'!N27</f>
        <v>7317.2563719233494</v>
      </c>
      <c r="E7" s="2">
        <f>'Income Statement'!O27</f>
        <v>7393.887564114013</v>
      </c>
      <c r="F7" s="2">
        <f>'Income Statement'!P27</f>
        <v>7471.3212892921911</v>
      </c>
    </row>
    <row r="8" spans="1:9">
      <c r="A8" t="s">
        <v>119</v>
      </c>
      <c r="B8" s="2">
        <f>B6-B7</f>
        <v>-4500.9436004510717</v>
      </c>
      <c r="C8" s="2">
        <f>C6-C7</f>
        <v>-4548.0804857198382</v>
      </c>
      <c r="D8" s="2">
        <f>D6-D7</f>
        <v>-4595.7110199098279</v>
      </c>
      <c r="E8" s="2">
        <f>E6-E7</f>
        <v>-4643.8403728419962</v>
      </c>
      <c r="F8" s="2">
        <f>F6-F7</f>
        <v>-4692.4737684791216</v>
      </c>
    </row>
    <row r="9" spans="1:9">
      <c r="A9" t="s">
        <v>120</v>
      </c>
      <c r="B9" s="2">
        <f>'Income Statement'!L20</f>
        <v>197.45646393468397</v>
      </c>
      <c r="C9" s="2">
        <f>'Income Statement'!M20</f>
        <v>199.52435980548157</v>
      </c>
      <c r="D9" s="2">
        <f>'Income Statement'!N20</f>
        <v>201.61391206193125</v>
      </c>
      <c r="E9" s="2">
        <f>'Income Statement'!O20</f>
        <v>203.72534750415676</v>
      </c>
      <c r="F9" s="2">
        <f>'Income Statement'!P20</f>
        <v>205.85889530748423</v>
      </c>
    </row>
    <row r="10" spans="1:9">
      <c r="A10" t="s">
        <v>121</v>
      </c>
      <c r="B10" s="2">
        <f>-'Cash Flow Statement'!L12</f>
        <v>197.45646393468397</v>
      </c>
      <c r="C10" s="2">
        <f>-'Cash Flow Statement'!M12</f>
        <v>199.52435980548157</v>
      </c>
      <c r="D10" s="2">
        <f>-'Cash Flow Statement'!N12</f>
        <v>201.61391206193125</v>
      </c>
      <c r="E10" s="2">
        <f>-'Cash Flow Statement'!O12</f>
        <v>203.72534750415676</v>
      </c>
      <c r="F10" s="2">
        <f>-'Cash Flow Statement'!P12</f>
        <v>205.85889530748423</v>
      </c>
    </row>
    <row r="11" spans="1:9">
      <c r="A11" t="s">
        <v>122</v>
      </c>
      <c r="B11" s="2">
        <f>-'Cash Flow Statement'!L8</f>
        <v>16.769456054077747</v>
      </c>
      <c r="C11" s="2">
        <f>-'Cash Flow Statement'!M8</f>
        <v>16.945076989643603</v>
      </c>
      <c r="D11" s="2">
        <f>-'Cash Flow Statement'!N8</f>
        <v>17.12253714485443</v>
      </c>
      <c r="E11" s="2">
        <f>-'Cash Flow Statement'!O8</f>
        <v>17.301855781245795</v>
      </c>
      <c r="F11" s="2">
        <f>-'Cash Flow Statement'!P8</f>
        <v>17.483052362072922</v>
      </c>
    </row>
    <row r="12" spans="1:9">
      <c r="A12" s="18" t="s">
        <v>123</v>
      </c>
      <c r="B12" s="10">
        <f>B8+B9-B10-B11</f>
        <v>-4517.7130565051493</v>
      </c>
      <c r="C12" s="10">
        <f>C8+C9-C10-C11</f>
        <v>-4565.0255627094821</v>
      </c>
      <c r="D12" s="10">
        <f>D8+D9-D10-D11</f>
        <v>-4612.8335570546824</v>
      </c>
      <c r="E12" s="10">
        <f>E8+E9-E10-E11</f>
        <v>-4661.1422286232419</v>
      </c>
      <c r="F12" s="10">
        <f>F8+F9-F10-F11</f>
        <v>-4709.9568208411947</v>
      </c>
    </row>
    <row r="13" spans="1:9">
      <c r="A13" t="s">
        <v>124</v>
      </c>
      <c r="B13" s="19">
        <v>1</v>
      </c>
      <c r="C13" s="19">
        <v>2</v>
      </c>
      <c r="D13" s="19">
        <v>3</v>
      </c>
      <c r="E13" s="19">
        <v>4</v>
      </c>
      <c r="F13" s="19">
        <v>5</v>
      </c>
    </row>
    <row r="14" spans="1:9">
      <c r="A14" t="s">
        <v>125</v>
      </c>
      <c r="B14" s="19">
        <f>1/(1+'Forecast Assumptions'!$B$12)^B13</f>
        <v>0.9009009009009008</v>
      </c>
      <c r="C14" s="19">
        <f>1/(1+'Forecast Assumptions'!$B$12)^C13</f>
        <v>0.8116224332440547</v>
      </c>
      <c r="D14" s="19">
        <f>1/(1+'Forecast Assumptions'!$B$12)^D13</f>
        <v>0.73119138130095018</v>
      </c>
      <c r="E14" s="19">
        <f>1/(1+'Forecast Assumptions'!$B$12)^E13</f>
        <v>0.65873097414500015</v>
      </c>
      <c r="F14" s="19">
        <f>1/(1+'Forecast Assumptions'!$B$12)^F13</f>
        <v>0.5934513280585586</v>
      </c>
    </row>
    <row r="15" spans="1:9">
      <c r="A15" s="18" t="s">
        <v>126</v>
      </c>
      <c r="B15" s="10">
        <f>B12*B14</f>
        <v>-4070.0117626172514</v>
      </c>
      <c r="C15" s="10">
        <f>C12*C14</f>
        <v>-3705.0771550275799</v>
      </c>
      <c r="D15" s="10">
        <f>D12*D14</f>
        <v>-3372.8641402941885</v>
      </c>
      <c r="E15" s="10">
        <f>E12*E14</f>
        <v>-3070.4387608893853</v>
      </c>
      <c r="F15" s="10">
        <f>F12*F14</f>
        <v>-2795.1301304266735</v>
      </c>
    </row>
    <row r="18" spans="1:6" ht="18">
      <c r="A18" s="23" t="s">
        <v>127</v>
      </c>
      <c r="B18" s="24"/>
      <c r="C18" s="24"/>
      <c r="D18" s="24"/>
      <c r="E18" s="24"/>
      <c r="F18" s="24"/>
    </row>
    <row r="19" spans="1:6">
      <c r="A19" t="s">
        <v>126</v>
      </c>
      <c r="B19" s="2">
        <f>SUM(B15:F15)</f>
        <v>-17013.521949255079</v>
      </c>
    </row>
    <row r="20" spans="1:6">
      <c r="A20" t="s">
        <v>128</v>
      </c>
      <c r="B20" s="2">
        <f>F12*(1+'Forecast Assumptions'!$B$13)</f>
        <v>-4921.9048777790485</v>
      </c>
    </row>
    <row r="21" spans="1:6">
      <c r="A21" t="s">
        <v>129</v>
      </c>
      <c r="B21" s="2">
        <f>B20/('Forecast Assumptions'!$B$12-'Forecast Assumptions'!$B$13)</f>
        <v>-75721.613504293055</v>
      </c>
    </row>
    <row r="22" spans="1:6">
      <c r="A22" t="s">
        <v>130</v>
      </c>
      <c r="B22" s="2">
        <f>B21*F14</f>
        <v>-44937.092096859596</v>
      </c>
    </row>
    <row r="23" spans="1:6">
      <c r="A23" s="18" t="s">
        <v>131</v>
      </c>
      <c r="B23" s="10">
        <f>B19+B22</f>
        <v>-61950.614046114672</v>
      </c>
      <c r="C23" s="18"/>
      <c r="D23" s="18"/>
      <c r="E23" s="18"/>
      <c r="F23" s="18"/>
    </row>
    <row r="24" spans="1:6">
      <c r="A24" t="s">
        <v>132</v>
      </c>
      <c r="B24" s="2">
        <f>'Forecast Assumptions'!$B$15</f>
        <v>4461.8</v>
      </c>
    </row>
    <row r="25" spans="1:6">
      <c r="A25" s="18" t="s">
        <v>133</v>
      </c>
      <c r="B25" s="10">
        <f>B23-B24</f>
        <v>-66412.414046114674</v>
      </c>
      <c r="C25" s="18"/>
      <c r="D25" s="18"/>
      <c r="E25" s="18"/>
      <c r="F25" s="18"/>
    </row>
    <row r="26" spans="1:6">
      <c r="A26" t="s">
        <v>11</v>
      </c>
      <c r="B26" s="3">
        <f>'Forecast Assumptions'!$B$17</f>
        <v>95.919759341355288</v>
      </c>
    </row>
    <row r="27" spans="1:6">
      <c r="A27" s="18" t="s">
        <v>134</v>
      </c>
      <c r="B27" s="20">
        <f>IF(B26&gt;0,B25/B26,0)</f>
        <v>-692.37469424593644</v>
      </c>
      <c r="C27" s="18"/>
      <c r="D27" s="18"/>
      <c r="E27" s="18"/>
      <c r="F27" s="18"/>
    </row>
    <row r="28" spans="1:6">
      <c r="A28" t="s">
        <v>135</v>
      </c>
      <c r="B28" s="14">
        <f>'Forecast Assumptions'!$B$16</f>
        <v>2684.3</v>
      </c>
    </row>
    <row r="29" spans="1:6">
      <c r="A29" s="18" t="s">
        <v>136</v>
      </c>
      <c r="B29" s="21">
        <f>IF(B28&gt;0,B27/B28-1,0)</f>
        <v>-1.25793491571208</v>
      </c>
      <c r="C29" s="18"/>
      <c r="D29" s="18"/>
      <c r="E29" s="18"/>
      <c r="F29" s="18"/>
    </row>
  </sheetData>
  <mergeCells count="2">
    <mergeCell ref="A2:I2"/>
    <mergeCell ref="A18:F18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1"/>
  <sheetViews>
    <sheetView showGridLines="0" workbookViewId="0">
      <selection activeCell="C13" sqref="C13"/>
    </sheetView>
  </sheetViews>
  <sheetFormatPr defaultRowHeight="14.4"/>
  <cols>
    <col min="1" max="1" width="24" customWidth="1"/>
    <col min="2" max="6" width="15" customWidth="1"/>
  </cols>
  <sheetData>
    <row r="2" spans="1:8" ht="18">
      <c r="A2" s="25" t="s">
        <v>137</v>
      </c>
      <c r="B2" s="24"/>
      <c r="C2" s="24"/>
      <c r="D2" s="24"/>
      <c r="E2" s="24"/>
      <c r="F2" s="24"/>
      <c r="G2" s="24"/>
      <c r="H2" s="24"/>
    </row>
    <row r="4" spans="1:8" ht="18">
      <c r="A4" s="23" t="s">
        <v>138</v>
      </c>
      <c r="B4" s="24"/>
      <c r="C4" s="24"/>
      <c r="D4" s="24"/>
      <c r="E4" s="24"/>
      <c r="F4" s="24"/>
      <c r="G4" s="24"/>
      <c r="H4" s="24"/>
    </row>
    <row r="6" spans="1:8">
      <c r="A6" s="4" t="s">
        <v>139</v>
      </c>
      <c r="B6" s="4">
        <v>3.5000000000000003E-2</v>
      </c>
      <c r="C6" s="4">
        <v>0.04</v>
      </c>
      <c r="D6" s="4">
        <v>4.4999999999999998E-2</v>
      </c>
      <c r="E6" s="4">
        <v>0.05</v>
      </c>
      <c r="F6" s="4">
        <v>5.5E-2</v>
      </c>
    </row>
    <row r="7" spans="1:8">
      <c r="A7" s="4">
        <v>9.5000000000000001E-2</v>
      </c>
      <c r="B7" s="27"/>
      <c r="C7" s="27"/>
      <c r="D7" s="27"/>
      <c r="E7" s="27"/>
      <c r="F7" s="27"/>
    </row>
    <row r="8" spans="1:8">
      <c r="A8" s="4">
        <v>0.105</v>
      </c>
      <c r="B8" s="27"/>
      <c r="C8" s="27"/>
      <c r="D8" s="27"/>
      <c r="E8" s="27"/>
      <c r="F8" s="27"/>
    </row>
    <row r="9" spans="1:8">
      <c r="A9" s="4">
        <v>0.11</v>
      </c>
      <c r="B9" s="27"/>
      <c r="C9" s="27"/>
      <c r="D9" s="27"/>
      <c r="E9" s="27"/>
      <c r="F9" s="27"/>
    </row>
    <row r="10" spans="1:8">
      <c r="A10" s="4">
        <v>0.115</v>
      </c>
      <c r="B10" s="27"/>
      <c r="C10" s="27"/>
      <c r="D10" s="27"/>
      <c r="E10" s="27"/>
      <c r="F10" s="27"/>
    </row>
    <row r="11" spans="1:8">
      <c r="A11" s="4">
        <v>0.125</v>
      </c>
      <c r="B11" s="27"/>
      <c r="C11" s="27"/>
      <c r="D11" s="27"/>
      <c r="E11" s="27"/>
      <c r="F11" s="27"/>
    </row>
  </sheetData>
  <mergeCells count="2">
    <mergeCell ref="A4:H4"/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G9"/>
  <sheetViews>
    <sheetView showGridLines="0" workbookViewId="0"/>
  </sheetViews>
  <sheetFormatPr defaultRowHeight="14.4"/>
  <cols>
    <col min="1" max="1" width="32" customWidth="1"/>
    <col min="2" max="4" width="16" customWidth="1"/>
    <col min="5" max="6" width="12" customWidth="1"/>
    <col min="7" max="7" width="58" customWidth="1"/>
  </cols>
  <sheetData>
    <row r="2" spans="1:7" ht="18">
      <c r="A2" s="25" t="s">
        <v>140</v>
      </c>
      <c r="B2" s="24"/>
      <c r="C2" s="24"/>
      <c r="D2" s="24"/>
      <c r="E2" s="24"/>
      <c r="F2" s="24"/>
      <c r="G2" s="24"/>
    </row>
    <row r="4" spans="1:7">
      <c r="A4" s="4" t="s">
        <v>141</v>
      </c>
      <c r="B4" s="4" t="s">
        <v>142</v>
      </c>
      <c r="C4" s="4" t="s">
        <v>143</v>
      </c>
      <c r="D4" s="4" t="s">
        <v>144</v>
      </c>
      <c r="E4" s="4" t="s">
        <v>145</v>
      </c>
      <c r="F4" s="4" t="s">
        <v>146</v>
      </c>
      <c r="G4" s="4" t="s">
        <v>147</v>
      </c>
    </row>
    <row r="5" spans="1:7">
      <c r="A5" t="s">
        <v>148</v>
      </c>
      <c r="B5" s="2">
        <f>'Balance Sheet'!K16</f>
        <v>34518.75</v>
      </c>
      <c r="C5" s="2">
        <f>'Balance Sheet'!K10</f>
        <v>34518.75</v>
      </c>
      <c r="D5" s="2">
        <f>B5-C5</f>
        <v>0</v>
      </c>
      <c r="E5" s="2">
        <v>1</v>
      </c>
      <c r="F5" t="str">
        <f>IF(ABS(D5)&lt;=E5,"OK","Check")</f>
        <v>OK</v>
      </c>
      <c r="G5" s="22" t="s">
        <v>149</v>
      </c>
    </row>
    <row r="6" spans="1:7">
      <c r="A6" t="s">
        <v>150</v>
      </c>
      <c r="B6" s="2">
        <f>'Balance Sheet'!P16</f>
        <v>11537.700752598143</v>
      </c>
      <c r="C6" s="2">
        <f>'Balance Sheet'!P10</f>
        <v>11537.700752598143</v>
      </c>
      <c r="D6" s="2">
        <f>B6-C6</f>
        <v>0</v>
      </c>
      <c r="E6" s="2">
        <v>1</v>
      </c>
      <c r="F6" t="str">
        <f>IF(ABS(D6)&lt;=E6,"OK","Check")</f>
        <v>OK</v>
      </c>
      <c r="G6" s="22" t="s">
        <v>151</v>
      </c>
    </row>
    <row r="7" spans="1:7">
      <c r="A7" t="s">
        <v>152</v>
      </c>
      <c r="B7" s="2">
        <f>'Forecast Assumptions'!B12</f>
        <v>0.11</v>
      </c>
      <c r="C7" s="2">
        <f>'Forecast Assumptions'!B13</f>
        <v>4.4999999999999998E-2</v>
      </c>
      <c r="D7" s="2">
        <f>B7-C7</f>
        <v>6.5000000000000002E-2</v>
      </c>
      <c r="E7" s="2">
        <v>0</v>
      </c>
      <c r="F7" t="str">
        <f>IF(B7&gt;C7,"OK","Check")</f>
        <v>OK</v>
      </c>
      <c r="G7" s="22" t="s">
        <v>153</v>
      </c>
    </row>
    <row r="8" spans="1:7">
      <c r="A8" t="s">
        <v>154</v>
      </c>
      <c r="B8" s="2">
        <f>'Forecast Assumptions'!B17</f>
        <v>95.919759341355288</v>
      </c>
      <c r="C8" s="2">
        <v>0</v>
      </c>
      <c r="D8" s="2">
        <f>B8-C8</f>
        <v>95.919759341355288</v>
      </c>
      <c r="E8" s="2">
        <v>0</v>
      </c>
      <c r="F8" t="str">
        <f>IF(B8&gt;0,"OK","Check")</f>
        <v>OK</v>
      </c>
      <c r="G8" s="22" t="s">
        <v>155</v>
      </c>
    </row>
    <row r="9" spans="1:7">
      <c r="A9" t="s">
        <v>156</v>
      </c>
      <c r="B9" s="2"/>
      <c r="C9" s="2"/>
      <c r="D9" s="2"/>
      <c r="E9" s="2"/>
      <c r="F9" t="str">
        <f>IF(COUNTIF(F5:F8,"Check")=0,"OK","Check")</f>
        <v>OK</v>
      </c>
      <c r="G9" s="22" t="s">
        <v>157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Historical Data</vt:lpstr>
      <vt:lpstr>Income Statement</vt:lpstr>
      <vt:lpstr>Balance Sheet</vt:lpstr>
      <vt:lpstr>Cash Flow Statement</vt:lpstr>
      <vt:lpstr>Forecast Assumptions</vt:lpstr>
      <vt:lpstr>3 Statement Model</vt:lpstr>
      <vt:lpstr>DCF Valuation</vt:lpstr>
      <vt:lpstr>Sensitivity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prajapati</cp:lastModifiedBy>
  <dcterms:created xsi:type="dcterms:W3CDTF">2026-07-17T09:27:20Z</dcterms:created>
  <dcterms:modified xsi:type="dcterms:W3CDTF">2026-07-17T09:38:52Z</dcterms:modified>
</cp:coreProperties>
</file>